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92\OneDrive\Desktop\Jewellery-Operations-and-Project-Tracker\"/>
    </mc:Choice>
  </mc:AlternateContent>
  <xr:revisionPtr revIDLastSave="0" documentId="13_ncr:1_{44F3788A-3C2E-477B-ABA2-E0A25BF9B9F4}" xr6:coauthVersionLast="47" xr6:coauthVersionMax="47" xr10:uidLastSave="{00000000-0000-0000-0000-000000000000}"/>
  <bookViews>
    <workbookView xWindow="-108" yWindow="-108" windowWidth="23256" windowHeight="12456" firstSheet="5" activeTab="9" xr2:uid="{7903C98B-CA55-4B0D-ADC3-628EBE6BAEE0}"/>
  </bookViews>
  <sheets>
    <sheet name="Sales_Data" sheetId="1" r:id="rId1"/>
    <sheet name="Inventory_Data" sheetId="12" r:id="rId2"/>
    <sheet name="Issue_Tracker" sheetId="3" r:id="rId3"/>
    <sheet name="Action_Tracker" sheetId="4" r:id="rId4"/>
    <sheet name="Stakeholder_Report" sheetId="5" r:id="rId5"/>
    <sheet name="KPI_Tracking" sheetId="8" r:id="rId6"/>
    <sheet name="Stakeholder_Register_Sheet" sheetId="9" r:id="rId7"/>
    <sheet name="Risk_Register" sheetId="10" r:id="rId8"/>
    <sheet name="Dashboard_Planning" sheetId="11" r:id="rId9"/>
    <sheet name="Dashboard" sheetId="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6" l="1"/>
  <c r="K9" i="6"/>
  <c r="H9" i="6"/>
  <c r="E9" i="6"/>
  <c r="E201" i="12"/>
  <c r="F201" i="12" s="1"/>
  <c r="G201" i="12" s="1"/>
  <c r="F200" i="12"/>
  <c r="G200" i="12" s="1"/>
  <c r="E200" i="12"/>
  <c r="E199" i="12"/>
  <c r="F199" i="12" s="1"/>
  <c r="G199" i="12" s="1"/>
  <c r="E198" i="12"/>
  <c r="F198" i="12" s="1"/>
  <c r="G198" i="12" s="1"/>
  <c r="G197" i="12"/>
  <c r="E197" i="12"/>
  <c r="F197" i="12" s="1"/>
  <c r="F196" i="12"/>
  <c r="G196" i="12" s="1"/>
  <c r="E196" i="12"/>
  <c r="E195" i="12"/>
  <c r="F195" i="12" s="1"/>
  <c r="G195" i="12" s="1"/>
  <c r="E194" i="12"/>
  <c r="F194" i="12" s="1"/>
  <c r="G194" i="12" s="1"/>
  <c r="G193" i="12"/>
  <c r="E193" i="12"/>
  <c r="F193" i="12" s="1"/>
  <c r="F192" i="12"/>
  <c r="G192" i="12" s="1"/>
  <c r="E192" i="12"/>
  <c r="E191" i="12"/>
  <c r="F191" i="12" s="1"/>
  <c r="G191" i="12" s="1"/>
  <c r="E190" i="12"/>
  <c r="F190" i="12" s="1"/>
  <c r="G190" i="12" s="1"/>
  <c r="E189" i="12"/>
  <c r="F189" i="12" s="1"/>
  <c r="G189" i="12" s="1"/>
  <c r="F188" i="12"/>
  <c r="G188" i="12" s="1"/>
  <c r="E188" i="12"/>
  <c r="E187" i="12"/>
  <c r="F187" i="12" s="1"/>
  <c r="G187" i="12" s="1"/>
  <c r="E186" i="12"/>
  <c r="F186" i="12" s="1"/>
  <c r="G186" i="12" s="1"/>
  <c r="G185" i="12"/>
  <c r="E185" i="12"/>
  <c r="F185" i="12" s="1"/>
  <c r="F184" i="12"/>
  <c r="G184" i="12" s="1"/>
  <c r="E184" i="12"/>
  <c r="E183" i="12"/>
  <c r="F183" i="12" s="1"/>
  <c r="G183" i="12" s="1"/>
  <c r="E182" i="12"/>
  <c r="F182" i="12" s="1"/>
  <c r="G182" i="12" s="1"/>
  <c r="E181" i="12"/>
  <c r="F181" i="12" s="1"/>
  <c r="G181" i="12" s="1"/>
  <c r="F180" i="12"/>
  <c r="G180" i="12" s="1"/>
  <c r="E180" i="12"/>
  <c r="E179" i="12"/>
  <c r="F179" i="12" s="1"/>
  <c r="G179" i="12" s="1"/>
  <c r="E178" i="12"/>
  <c r="F178" i="12" s="1"/>
  <c r="G178" i="12" s="1"/>
  <c r="G177" i="12"/>
  <c r="E177" i="12"/>
  <c r="F177" i="12" s="1"/>
  <c r="F176" i="12"/>
  <c r="G176" i="12" s="1"/>
  <c r="E176" i="12"/>
  <c r="E175" i="12"/>
  <c r="F175" i="12" s="1"/>
  <c r="G175" i="12" s="1"/>
  <c r="E174" i="12"/>
  <c r="F174" i="12" s="1"/>
  <c r="G174" i="12" s="1"/>
  <c r="E173" i="12"/>
  <c r="F173" i="12" s="1"/>
  <c r="G173" i="12" s="1"/>
  <c r="F172" i="12"/>
  <c r="G172" i="12" s="1"/>
  <c r="E172" i="12"/>
  <c r="E171" i="12"/>
  <c r="F171" i="12" s="1"/>
  <c r="G171" i="12" s="1"/>
  <c r="E170" i="12"/>
  <c r="F170" i="12" s="1"/>
  <c r="G170" i="12" s="1"/>
  <c r="G169" i="12"/>
  <c r="E169" i="12"/>
  <c r="F169" i="12" s="1"/>
  <c r="F168" i="12"/>
  <c r="G168" i="12" s="1"/>
  <c r="E168" i="12"/>
  <c r="E167" i="12"/>
  <c r="F167" i="12" s="1"/>
  <c r="G167" i="12" s="1"/>
  <c r="E166" i="12"/>
  <c r="F166" i="12" s="1"/>
  <c r="G166" i="12" s="1"/>
  <c r="E165" i="12"/>
  <c r="F165" i="12" s="1"/>
  <c r="G165" i="12" s="1"/>
  <c r="F164" i="12"/>
  <c r="G164" i="12" s="1"/>
  <c r="E164" i="12"/>
  <c r="E163" i="12"/>
  <c r="F163" i="12" s="1"/>
  <c r="G163" i="12" s="1"/>
  <c r="E162" i="12"/>
  <c r="F162" i="12" s="1"/>
  <c r="G162" i="12" s="1"/>
  <c r="G161" i="12"/>
  <c r="E161" i="12"/>
  <c r="F161" i="12" s="1"/>
  <c r="F160" i="12"/>
  <c r="G160" i="12" s="1"/>
  <c r="E160" i="12"/>
  <c r="E159" i="12"/>
  <c r="F159" i="12" s="1"/>
  <c r="G159" i="12" s="1"/>
  <c r="E158" i="12"/>
  <c r="F158" i="12" s="1"/>
  <c r="G158" i="12" s="1"/>
  <c r="E157" i="12"/>
  <c r="F157" i="12" s="1"/>
  <c r="G157" i="12" s="1"/>
  <c r="F156" i="12"/>
  <c r="G156" i="12" s="1"/>
  <c r="E156" i="12"/>
  <c r="E155" i="12"/>
  <c r="F155" i="12" s="1"/>
  <c r="G155" i="12" s="1"/>
  <c r="E154" i="12"/>
  <c r="F154" i="12" s="1"/>
  <c r="G154" i="12" s="1"/>
  <c r="G153" i="12"/>
  <c r="E153" i="12"/>
  <c r="F153" i="12" s="1"/>
  <c r="F152" i="12"/>
  <c r="G152" i="12" s="1"/>
  <c r="E152" i="12"/>
  <c r="E151" i="12"/>
  <c r="F151" i="12" s="1"/>
  <c r="G151" i="12" s="1"/>
  <c r="E150" i="12"/>
  <c r="F150" i="12" s="1"/>
  <c r="G150" i="12" s="1"/>
  <c r="E149" i="12"/>
  <c r="F149" i="12" s="1"/>
  <c r="G149" i="12" s="1"/>
  <c r="F148" i="12"/>
  <c r="G148" i="12" s="1"/>
  <c r="E148" i="12"/>
  <c r="E147" i="12"/>
  <c r="F147" i="12" s="1"/>
  <c r="G147" i="12" s="1"/>
  <c r="E146" i="12"/>
  <c r="F146" i="12" s="1"/>
  <c r="G146" i="12" s="1"/>
  <c r="G145" i="12"/>
  <c r="E145" i="12"/>
  <c r="F145" i="12" s="1"/>
  <c r="F144" i="12"/>
  <c r="G144" i="12" s="1"/>
  <c r="E144" i="12"/>
  <c r="E143" i="12"/>
  <c r="F143" i="12" s="1"/>
  <c r="G143" i="12" s="1"/>
  <c r="E142" i="12"/>
  <c r="F142" i="12" s="1"/>
  <c r="G142" i="12" s="1"/>
  <c r="E141" i="12"/>
  <c r="F141" i="12" s="1"/>
  <c r="G141" i="12" s="1"/>
  <c r="F140" i="12"/>
  <c r="G140" i="12" s="1"/>
  <c r="E140" i="12"/>
  <c r="E139" i="12"/>
  <c r="F139" i="12" s="1"/>
  <c r="G139" i="12" s="1"/>
  <c r="E138" i="12"/>
  <c r="F138" i="12" s="1"/>
  <c r="G138" i="12" s="1"/>
  <c r="G137" i="12"/>
  <c r="E137" i="12"/>
  <c r="F137" i="12" s="1"/>
  <c r="F136" i="12"/>
  <c r="G136" i="12" s="1"/>
  <c r="E136" i="12"/>
  <c r="E135" i="12"/>
  <c r="F135" i="12" s="1"/>
  <c r="G135" i="12" s="1"/>
  <c r="E134" i="12"/>
  <c r="F134" i="12" s="1"/>
  <c r="G134" i="12" s="1"/>
  <c r="E133" i="12"/>
  <c r="F133" i="12" s="1"/>
  <c r="G133" i="12" s="1"/>
  <c r="F132" i="12"/>
  <c r="G132" i="12" s="1"/>
  <c r="E132" i="12"/>
  <c r="E131" i="12"/>
  <c r="F131" i="12" s="1"/>
  <c r="G131" i="12" s="1"/>
  <c r="E130" i="12"/>
  <c r="F130" i="12" s="1"/>
  <c r="G130" i="12" s="1"/>
  <c r="G129" i="12"/>
  <c r="E129" i="12"/>
  <c r="F129" i="12" s="1"/>
  <c r="F128" i="12"/>
  <c r="G128" i="12" s="1"/>
  <c r="E128" i="12"/>
  <c r="E127" i="12"/>
  <c r="F127" i="12" s="1"/>
  <c r="G127" i="12" s="1"/>
  <c r="E126" i="12"/>
  <c r="F126" i="12" s="1"/>
  <c r="G126" i="12" s="1"/>
  <c r="E125" i="12"/>
  <c r="F125" i="12" s="1"/>
  <c r="G125" i="12" s="1"/>
  <c r="F124" i="12"/>
  <c r="G124" i="12" s="1"/>
  <c r="E124" i="12"/>
  <c r="E123" i="12"/>
  <c r="F123" i="12" s="1"/>
  <c r="G123" i="12" s="1"/>
  <c r="E122" i="12"/>
  <c r="F122" i="12" s="1"/>
  <c r="G122" i="12" s="1"/>
  <c r="G121" i="12"/>
  <c r="E121" i="12"/>
  <c r="F121" i="12" s="1"/>
  <c r="F120" i="12"/>
  <c r="G120" i="12" s="1"/>
  <c r="E120" i="12"/>
  <c r="E119" i="12"/>
  <c r="F119" i="12" s="1"/>
  <c r="G119" i="12" s="1"/>
  <c r="E118" i="12"/>
  <c r="F118" i="12" s="1"/>
  <c r="G118" i="12" s="1"/>
  <c r="E117" i="12"/>
  <c r="F117" i="12" s="1"/>
  <c r="G117" i="12" s="1"/>
  <c r="F116" i="12"/>
  <c r="G116" i="12" s="1"/>
  <c r="E116" i="12"/>
  <c r="E115" i="12"/>
  <c r="F115" i="12" s="1"/>
  <c r="G115" i="12" s="1"/>
  <c r="E114" i="12"/>
  <c r="F114" i="12" s="1"/>
  <c r="G114" i="12" s="1"/>
  <c r="G113" i="12"/>
  <c r="E113" i="12"/>
  <c r="F113" i="12" s="1"/>
  <c r="F112" i="12"/>
  <c r="G112" i="12" s="1"/>
  <c r="E112" i="12"/>
  <c r="E111" i="12"/>
  <c r="F111" i="12" s="1"/>
  <c r="G111" i="12" s="1"/>
  <c r="E110" i="12"/>
  <c r="F110" i="12" s="1"/>
  <c r="G110" i="12" s="1"/>
  <c r="E109" i="12"/>
  <c r="F109" i="12" s="1"/>
  <c r="G109" i="12" s="1"/>
  <c r="F108" i="12"/>
  <c r="G108" i="12" s="1"/>
  <c r="E108" i="12"/>
  <c r="E107" i="12"/>
  <c r="F107" i="12" s="1"/>
  <c r="G107" i="12" s="1"/>
  <c r="E106" i="12"/>
  <c r="F106" i="12" s="1"/>
  <c r="G106" i="12" s="1"/>
  <c r="G105" i="12"/>
  <c r="E105" i="12"/>
  <c r="F105" i="12" s="1"/>
  <c r="F104" i="12"/>
  <c r="G104" i="12" s="1"/>
  <c r="E104" i="12"/>
  <c r="E103" i="12"/>
  <c r="F103" i="12" s="1"/>
  <c r="G103" i="12" s="1"/>
  <c r="E102" i="12"/>
  <c r="F102" i="12" s="1"/>
  <c r="G102" i="12" s="1"/>
  <c r="E101" i="12"/>
  <c r="F101" i="12" s="1"/>
  <c r="G101" i="12" s="1"/>
  <c r="F100" i="12"/>
  <c r="G100" i="12" s="1"/>
  <c r="E100" i="12"/>
  <c r="E99" i="12"/>
  <c r="F99" i="12" s="1"/>
  <c r="G99" i="12" s="1"/>
  <c r="E98" i="12"/>
  <c r="F98" i="12" s="1"/>
  <c r="G98" i="12" s="1"/>
  <c r="G97" i="12"/>
  <c r="E97" i="12"/>
  <c r="F97" i="12" s="1"/>
  <c r="F96" i="12"/>
  <c r="G96" i="12" s="1"/>
  <c r="E96" i="12"/>
  <c r="E95" i="12"/>
  <c r="F95" i="12" s="1"/>
  <c r="G95" i="12" s="1"/>
  <c r="E94" i="12"/>
  <c r="F94" i="12" s="1"/>
  <c r="G94" i="12" s="1"/>
  <c r="E93" i="12"/>
  <c r="F93" i="12" s="1"/>
  <c r="G93" i="12" s="1"/>
  <c r="F92" i="12"/>
  <c r="G92" i="12" s="1"/>
  <c r="E92" i="12"/>
  <c r="E91" i="12"/>
  <c r="F91" i="12" s="1"/>
  <c r="G91" i="12" s="1"/>
  <c r="E90" i="12"/>
  <c r="F90" i="12" s="1"/>
  <c r="G90" i="12" s="1"/>
  <c r="G89" i="12"/>
  <c r="E89" i="12"/>
  <c r="F89" i="12" s="1"/>
  <c r="F88" i="12"/>
  <c r="G88" i="12" s="1"/>
  <c r="E88" i="12"/>
  <c r="E87" i="12"/>
  <c r="F87" i="12" s="1"/>
  <c r="G87" i="12" s="1"/>
  <c r="E86" i="12"/>
  <c r="F86" i="12" s="1"/>
  <c r="G86" i="12" s="1"/>
  <c r="E85" i="12"/>
  <c r="F85" i="12" s="1"/>
  <c r="G85" i="12" s="1"/>
  <c r="F84" i="12"/>
  <c r="G84" i="12" s="1"/>
  <c r="E84" i="12"/>
  <c r="E83" i="12"/>
  <c r="F83" i="12" s="1"/>
  <c r="G83" i="12" s="1"/>
  <c r="E82" i="12"/>
  <c r="F82" i="12" s="1"/>
  <c r="G82" i="12" s="1"/>
  <c r="G81" i="12"/>
  <c r="E81" i="12"/>
  <c r="F81" i="12" s="1"/>
  <c r="F80" i="12"/>
  <c r="G80" i="12" s="1"/>
  <c r="E80" i="12"/>
  <c r="E79" i="12"/>
  <c r="F79" i="12" s="1"/>
  <c r="G79" i="12" s="1"/>
  <c r="E78" i="12"/>
  <c r="F78" i="12" s="1"/>
  <c r="G78" i="12" s="1"/>
  <c r="E77" i="12"/>
  <c r="F77" i="12" s="1"/>
  <c r="G77" i="12" s="1"/>
  <c r="F76" i="12"/>
  <c r="G76" i="12" s="1"/>
  <c r="E76" i="12"/>
  <c r="E75" i="12"/>
  <c r="F75" i="12" s="1"/>
  <c r="G75" i="12" s="1"/>
  <c r="E74" i="12"/>
  <c r="F74" i="12" s="1"/>
  <c r="G74" i="12" s="1"/>
  <c r="G73" i="12"/>
  <c r="E73" i="12"/>
  <c r="F73" i="12" s="1"/>
  <c r="F72" i="12"/>
  <c r="G72" i="12" s="1"/>
  <c r="E72" i="12"/>
  <c r="E71" i="12"/>
  <c r="F71" i="12" s="1"/>
  <c r="G71" i="12" s="1"/>
  <c r="E70" i="12"/>
  <c r="F70" i="12" s="1"/>
  <c r="G70" i="12" s="1"/>
  <c r="E69" i="12"/>
  <c r="F69" i="12" s="1"/>
  <c r="G69" i="12" s="1"/>
  <c r="F68" i="12"/>
  <c r="G68" i="12" s="1"/>
  <c r="E68" i="12"/>
  <c r="E67" i="12"/>
  <c r="F67" i="12" s="1"/>
  <c r="G67" i="12" s="1"/>
  <c r="E66" i="12"/>
  <c r="F66" i="12" s="1"/>
  <c r="G66" i="12" s="1"/>
  <c r="G65" i="12"/>
  <c r="E65" i="12"/>
  <c r="F65" i="12" s="1"/>
  <c r="F64" i="12"/>
  <c r="G64" i="12" s="1"/>
  <c r="E64" i="12"/>
  <c r="E63" i="12"/>
  <c r="F63" i="12" s="1"/>
  <c r="G63" i="12" s="1"/>
  <c r="E62" i="12"/>
  <c r="F62" i="12" s="1"/>
  <c r="G62" i="12" s="1"/>
  <c r="E61" i="12"/>
  <c r="F61" i="12" s="1"/>
  <c r="G61" i="12" s="1"/>
  <c r="F60" i="12"/>
  <c r="G60" i="12" s="1"/>
  <c r="E60" i="12"/>
  <c r="E59" i="12"/>
  <c r="F59" i="12" s="1"/>
  <c r="G59" i="12" s="1"/>
  <c r="E58" i="12"/>
  <c r="F58" i="12" s="1"/>
  <c r="G58" i="12" s="1"/>
  <c r="G57" i="12"/>
  <c r="F57" i="12"/>
  <c r="E57" i="12"/>
  <c r="E56" i="12"/>
  <c r="F56" i="12" s="1"/>
  <c r="G56" i="12" s="1"/>
  <c r="E55" i="12"/>
  <c r="F55" i="12" s="1"/>
  <c r="G55" i="12" s="1"/>
  <c r="E54" i="12"/>
  <c r="F54" i="12" s="1"/>
  <c r="G54" i="12" s="1"/>
  <c r="G53" i="12"/>
  <c r="F53" i="12"/>
  <c r="E53" i="12"/>
  <c r="E52" i="12"/>
  <c r="F52" i="12" s="1"/>
  <c r="G52" i="12" s="1"/>
  <c r="E51" i="12"/>
  <c r="F51" i="12" s="1"/>
  <c r="G51" i="12" s="1"/>
  <c r="E50" i="12"/>
  <c r="F50" i="12" s="1"/>
  <c r="G50" i="12" s="1"/>
  <c r="G49" i="12"/>
  <c r="F49" i="12"/>
  <c r="E49" i="12"/>
  <c r="E48" i="12"/>
  <c r="F48" i="12" s="1"/>
  <c r="G48" i="12" s="1"/>
  <c r="E47" i="12"/>
  <c r="F47" i="12" s="1"/>
  <c r="G47" i="12" s="1"/>
  <c r="E46" i="12"/>
  <c r="F46" i="12" s="1"/>
  <c r="G46" i="12" s="1"/>
  <c r="G45" i="12"/>
  <c r="F45" i="12"/>
  <c r="E45" i="12"/>
  <c r="E44" i="12"/>
  <c r="F44" i="12" s="1"/>
  <c r="G44" i="12" s="1"/>
  <c r="E43" i="12"/>
  <c r="F43" i="12" s="1"/>
  <c r="G43" i="12" s="1"/>
  <c r="E42" i="12"/>
  <c r="F42" i="12" s="1"/>
  <c r="G42" i="12" s="1"/>
  <c r="G41" i="12"/>
  <c r="F41" i="12"/>
  <c r="E41" i="12"/>
  <c r="E40" i="12"/>
  <c r="F40" i="12" s="1"/>
  <c r="G40" i="12" s="1"/>
  <c r="E39" i="12"/>
  <c r="F39" i="12" s="1"/>
  <c r="G39" i="12" s="1"/>
  <c r="E38" i="12"/>
  <c r="F38" i="12" s="1"/>
  <c r="G38" i="12" s="1"/>
  <c r="G37" i="12"/>
  <c r="F37" i="12"/>
  <c r="E37" i="12"/>
  <c r="E36" i="12"/>
  <c r="F36" i="12" s="1"/>
  <c r="G36" i="12" s="1"/>
  <c r="E35" i="12"/>
  <c r="F35" i="12" s="1"/>
  <c r="G35" i="12" s="1"/>
  <c r="E34" i="12"/>
  <c r="F34" i="12" s="1"/>
  <c r="G34" i="12" s="1"/>
  <c r="G33" i="12"/>
  <c r="F33" i="12"/>
  <c r="E33" i="12"/>
  <c r="E32" i="12"/>
  <c r="F32" i="12" s="1"/>
  <c r="G32" i="12" s="1"/>
  <c r="E31" i="12"/>
  <c r="F31" i="12" s="1"/>
  <c r="G31" i="12" s="1"/>
  <c r="F30" i="12"/>
  <c r="G30" i="12" s="1"/>
  <c r="E30" i="12"/>
  <c r="E29" i="12"/>
  <c r="F29" i="12" s="1"/>
  <c r="G29" i="12" s="1"/>
  <c r="E28" i="12"/>
  <c r="F28" i="12" s="1"/>
  <c r="G28" i="12" s="1"/>
  <c r="E27" i="12"/>
  <c r="F27" i="12" s="1"/>
  <c r="G27" i="12" s="1"/>
  <c r="F26" i="12"/>
  <c r="G26" i="12" s="1"/>
  <c r="E26" i="12"/>
  <c r="E25" i="12"/>
  <c r="F25" i="12" s="1"/>
  <c r="G25" i="12" s="1"/>
  <c r="E24" i="12"/>
  <c r="F24" i="12" s="1"/>
  <c r="G24" i="12" s="1"/>
  <c r="E23" i="12"/>
  <c r="F23" i="12" s="1"/>
  <c r="G23" i="12" s="1"/>
  <c r="F22" i="12"/>
  <c r="G22" i="12" s="1"/>
  <c r="E22" i="12"/>
  <c r="E21" i="12"/>
  <c r="F21" i="12" s="1"/>
  <c r="G21" i="12" s="1"/>
  <c r="E20" i="12"/>
  <c r="F20" i="12" s="1"/>
  <c r="G20" i="12" s="1"/>
  <c r="E19" i="12"/>
  <c r="F19" i="12" s="1"/>
  <c r="G19" i="12" s="1"/>
  <c r="F18" i="12"/>
  <c r="G18" i="12" s="1"/>
  <c r="E18" i="12"/>
  <c r="E17" i="12"/>
  <c r="F17" i="12" s="1"/>
  <c r="G17" i="12" s="1"/>
  <c r="E16" i="12"/>
  <c r="F16" i="12" s="1"/>
  <c r="G16" i="12" s="1"/>
  <c r="E15" i="12"/>
  <c r="F15" i="12" s="1"/>
  <c r="G15" i="12" s="1"/>
  <c r="F14" i="12"/>
  <c r="G14" i="12" s="1"/>
  <c r="E14" i="12"/>
  <c r="E13" i="12"/>
  <c r="F13" i="12" s="1"/>
  <c r="G13" i="12" s="1"/>
  <c r="E12" i="12"/>
  <c r="F12" i="12" s="1"/>
  <c r="G12" i="12" s="1"/>
  <c r="E11" i="12"/>
  <c r="F11" i="12" s="1"/>
  <c r="G11" i="12" s="1"/>
  <c r="F10" i="12"/>
  <c r="G10" i="12" s="1"/>
  <c r="E10" i="12"/>
  <c r="E9" i="12"/>
  <c r="F9" i="12" s="1"/>
  <c r="G9" i="12" s="1"/>
  <c r="E8" i="12"/>
  <c r="F8" i="12" s="1"/>
  <c r="G8" i="12" s="1"/>
  <c r="E7" i="12"/>
  <c r="F7" i="12" s="1"/>
  <c r="G7" i="12" s="1"/>
  <c r="F6" i="12"/>
  <c r="G6" i="12" s="1"/>
  <c r="E6" i="12"/>
  <c r="E5" i="12"/>
  <c r="F5" i="12" s="1"/>
  <c r="G5" i="12" s="1"/>
  <c r="E4" i="12"/>
  <c r="F4" i="12" s="1"/>
  <c r="G4" i="12" s="1"/>
  <c r="E3" i="12"/>
  <c r="F3" i="12" s="1"/>
  <c r="G3" i="12" s="1"/>
  <c r="F2" i="12"/>
  <c r="G2" i="12" s="1"/>
  <c r="E2" i="12"/>
</calcChain>
</file>

<file path=xl/sharedStrings.xml><?xml version="1.0" encoding="utf-8"?>
<sst xmlns="http://schemas.openxmlformats.org/spreadsheetml/2006/main" count="1408" uniqueCount="496">
  <si>
    <t>Date</t>
  </si>
  <si>
    <t>Product Category</t>
  </si>
  <si>
    <t>Quantity Sold</t>
  </si>
  <si>
    <t>Revenue</t>
  </si>
  <si>
    <t>Opening Stock</t>
  </si>
  <si>
    <t>Sold</t>
  </si>
  <si>
    <t>EARRING</t>
  </si>
  <si>
    <t>CHAIN</t>
  </si>
  <si>
    <t>NECKLACE+ EARRING</t>
  </si>
  <si>
    <t>FINGER RING</t>
  </si>
  <si>
    <t>BANGLES &amp; BRACELET</t>
  </si>
  <si>
    <t>PENDANT</t>
  </si>
  <si>
    <t xml:space="preserve"> BANGLES &amp; BRACELET</t>
  </si>
  <si>
    <t>MANGAL SUTRA</t>
  </si>
  <si>
    <t>NOSE PIN</t>
  </si>
  <si>
    <t>COINS</t>
  </si>
  <si>
    <t>PENDENT SET</t>
  </si>
  <si>
    <t>PRO001</t>
  </si>
  <si>
    <t>PRO002</t>
  </si>
  <si>
    <t>PRO003</t>
  </si>
  <si>
    <t>PRO004</t>
  </si>
  <si>
    <t>PRO005</t>
  </si>
  <si>
    <t>PRO006</t>
  </si>
  <si>
    <t>PRO007</t>
  </si>
  <si>
    <t>PRO008</t>
  </si>
  <si>
    <t>PRO009</t>
  </si>
  <si>
    <t>PRO010</t>
  </si>
  <si>
    <t>PRO011</t>
  </si>
  <si>
    <t>PRO012</t>
  </si>
  <si>
    <t>PRO013</t>
  </si>
  <si>
    <t>PRO014</t>
  </si>
  <si>
    <t>PRO015</t>
  </si>
  <si>
    <t>PRO016</t>
  </si>
  <si>
    <t>PRO017</t>
  </si>
  <si>
    <t>PRO018</t>
  </si>
  <si>
    <t>PRO019</t>
  </si>
  <si>
    <t>PRO020</t>
  </si>
  <si>
    <t>PRO021</t>
  </si>
  <si>
    <t>PRO022</t>
  </si>
  <si>
    <t>PRO023</t>
  </si>
  <si>
    <t>PRO024</t>
  </si>
  <si>
    <t>PRO025</t>
  </si>
  <si>
    <t>PRO026</t>
  </si>
  <si>
    <t>PRO027</t>
  </si>
  <si>
    <t>PRO028</t>
  </si>
  <si>
    <t>PRO029</t>
  </si>
  <si>
    <t>PRO030</t>
  </si>
  <si>
    <t>PRO031</t>
  </si>
  <si>
    <t>PRO032</t>
  </si>
  <si>
    <t>PRO033</t>
  </si>
  <si>
    <t>PRO034</t>
  </si>
  <si>
    <t>PRO035</t>
  </si>
  <si>
    <t>PRO036</t>
  </si>
  <si>
    <t>PRO037</t>
  </si>
  <si>
    <t>PRO038</t>
  </si>
  <si>
    <t>PRO039</t>
  </si>
  <si>
    <t>PRO040</t>
  </si>
  <si>
    <t>PRO041</t>
  </si>
  <si>
    <t>PRO042</t>
  </si>
  <si>
    <t>PRO043</t>
  </si>
  <si>
    <t>PRO044</t>
  </si>
  <si>
    <t>PRO045</t>
  </si>
  <si>
    <t>PRO046</t>
  </si>
  <si>
    <t>PRO047</t>
  </si>
  <si>
    <t>PRO048</t>
  </si>
  <si>
    <t>PRO049</t>
  </si>
  <si>
    <t>PRO050</t>
  </si>
  <si>
    <t>PRO051</t>
  </si>
  <si>
    <t>PRO052</t>
  </si>
  <si>
    <t>PRO053</t>
  </si>
  <si>
    <t>PRO054</t>
  </si>
  <si>
    <t>PRO055</t>
  </si>
  <si>
    <t>PRO056</t>
  </si>
  <si>
    <t>PRO057</t>
  </si>
  <si>
    <t>PRO058</t>
  </si>
  <si>
    <t>PRO059</t>
  </si>
  <si>
    <t>PRO060</t>
  </si>
  <si>
    <t>PRO061</t>
  </si>
  <si>
    <t>PRO062</t>
  </si>
  <si>
    <t>PRO063</t>
  </si>
  <si>
    <t>PRO064</t>
  </si>
  <si>
    <t>PRO065</t>
  </si>
  <si>
    <t>PRO066</t>
  </si>
  <si>
    <t>PRO067</t>
  </si>
  <si>
    <t>PRO068</t>
  </si>
  <si>
    <t>PRO069</t>
  </si>
  <si>
    <t>PRO070</t>
  </si>
  <si>
    <t>PRO071</t>
  </si>
  <si>
    <t>PRO072</t>
  </si>
  <si>
    <t>PRO073</t>
  </si>
  <si>
    <t>PRO074</t>
  </si>
  <si>
    <t>PRO075</t>
  </si>
  <si>
    <t>PRO076</t>
  </si>
  <si>
    <t>PRO077</t>
  </si>
  <si>
    <t>PRO078</t>
  </si>
  <si>
    <t>PRO079</t>
  </si>
  <si>
    <t>PRO080</t>
  </si>
  <si>
    <t>PRO081</t>
  </si>
  <si>
    <t>PRO082</t>
  </si>
  <si>
    <t>PRO083</t>
  </si>
  <si>
    <t>PRO084</t>
  </si>
  <si>
    <t>PRO085</t>
  </si>
  <si>
    <t>PRO086</t>
  </si>
  <si>
    <t>PRO087</t>
  </si>
  <si>
    <t>PRO088</t>
  </si>
  <si>
    <t>PRO089</t>
  </si>
  <si>
    <t>PRO090</t>
  </si>
  <si>
    <t>PRO091</t>
  </si>
  <si>
    <t>PRO092</t>
  </si>
  <si>
    <t>PRO093</t>
  </si>
  <si>
    <t>PRO094</t>
  </si>
  <si>
    <t>PRO095</t>
  </si>
  <si>
    <t>PRO096</t>
  </si>
  <si>
    <t>PRO097</t>
  </si>
  <si>
    <t>PRO098</t>
  </si>
  <si>
    <t>PRO099</t>
  </si>
  <si>
    <t>PRO100</t>
  </si>
  <si>
    <t>PRO101</t>
  </si>
  <si>
    <t>PRO102</t>
  </si>
  <si>
    <t>PRO103</t>
  </si>
  <si>
    <t>PRO104</t>
  </si>
  <si>
    <t>PRO105</t>
  </si>
  <si>
    <t>PRO106</t>
  </si>
  <si>
    <t>PRO107</t>
  </si>
  <si>
    <t>PRO108</t>
  </si>
  <si>
    <t>PRO109</t>
  </si>
  <si>
    <t>PRO110</t>
  </si>
  <si>
    <t>PRO111</t>
  </si>
  <si>
    <t>PRO112</t>
  </si>
  <si>
    <t>PRO113</t>
  </si>
  <si>
    <t>PRO114</t>
  </si>
  <si>
    <t>PRO115</t>
  </si>
  <si>
    <t>PRO116</t>
  </si>
  <si>
    <t>PRO117</t>
  </si>
  <si>
    <t>PRO118</t>
  </si>
  <si>
    <t>PRO119</t>
  </si>
  <si>
    <t>PRO120</t>
  </si>
  <si>
    <t>PRO121</t>
  </si>
  <si>
    <t>PRO122</t>
  </si>
  <si>
    <t>PRO123</t>
  </si>
  <si>
    <t>PRO124</t>
  </si>
  <si>
    <t>PRO125</t>
  </si>
  <si>
    <t>PRO126</t>
  </si>
  <si>
    <t>PRO127</t>
  </si>
  <si>
    <t>PRO128</t>
  </si>
  <si>
    <t>PRO129</t>
  </si>
  <si>
    <t>PRO130</t>
  </si>
  <si>
    <t>PRO131</t>
  </si>
  <si>
    <t>PRO132</t>
  </si>
  <si>
    <t>PRO133</t>
  </si>
  <si>
    <t>PRO134</t>
  </si>
  <si>
    <t>PRO135</t>
  </si>
  <si>
    <t>PRO136</t>
  </si>
  <si>
    <t>PRO137</t>
  </si>
  <si>
    <t>PRO138</t>
  </si>
  <si>
    <t>PRO139</t>
  </si>
  <si>
    <t>PRO140</t>
  </si>
  <si>
    <t>PRO141</t>
  </si>
  <si>
    <t>PRO142</t>
  </si>
  <si>
    <t>PRO143</t>
  </si>
  <si>
    <t>PRO144</t>
  </si>
  <si>
    <t>PRO145</t>
  </si>
  <si>
    <t>PRO146</t>
  </si>
  <si>
    <t>PRO147</t>
  </si>
  <si>
    <t>PRO148</t>
  </si>
  <si>
    <t>PRO149</t>
  </si>
  <si>
    <t>PRO150</t>
  </si>
  <si>
    <t>PRO151</t>
  </si>
  <si>
    <t>PRO152</t>
  </si>
  <si>
    <t>PRO153</t>
  </si>
  <si>
    <t>PRO154</t>
  </si>
  <si>
    <t>PRO155</t>
  </si>
  <si>
    <t>PRO156</t>
  </si>
  <si>
    <t>PRO157</t>
  </si>
  <si>
    <t>PRO158</t>
  </si>
  <si>
    <t>PRO159</t>
  </si>
  <si>
    <t>PRO160</t>
  </si>
  <si>
    <t>PRO161</t>
  </si>
  <si>
    <t>PRO162</t>
  </si>
  <si>
    <t>PRO163</t>
  </si>
  <si>
    <t>PRO164</t>
  </si>
  <si>
    <t>PRO165</t>
  </si>
  <si>
    <t>PRO166</t>
  </si>
  <si>
    <t>PRO167</t>
  </si>
  <si>
    <t>PRO168</t>
  </si>
  <si>
    <t>PRO169</t>
  </si>
  <si>
    <t>PRO170</t>
  </si>
  <si>
    <t>PRO171</t>
  </si>
  <si>
    <t>PRO172</t>
  </si>
  <si>
    <t>PRO173</t>
  </si>
  <si>
    <t>PRO174</t>
  </si>
  <si>
    <t>PRO175</t>
  </si>
  <si>
    <t>PRO176</t>
  </si>
  <si>
    <t>PRO177</t>
  </si>
  <si>
    <t>PRO178</t>
  </si>
  <si>
    <t>PRO179</t>
  </si>
  <si>
    <t>PRO180</t>
  </si>
  <si>
    <t>PRO181</t>
  </si>
  <si>
    <t>PRO182</t>
  </si>
  <si>
    <t>PRO183</t>
  </si>
  <si>
    <t>PRO184</t>
  </si>
  <si>
    <t>PRO185</t>
  </si>
  <si>
    <t>PRO186</t>
  </si>
  <si>
    <t>PRO187</t>
  </si>
  <si>
    <t>PRO188</t>
  </si>
  <si>
    <t>PRO189</t>
  </si>
  <si>
    <t>PRO190</t>
  </si>
  <si>
    <t>PRO191</t>
  </si>
  <si>
    <t>PRO192</t>
  </si>
  <si>
    <t>PRO193</t>
  </si>
  <si>
    <t>PRO194</t>
  </si>
  <si>
    <t>PRO195</t>
  </si>
  <si>
    <t>PRO196</t>
  </si>
  <si>
    <t>PRO197</t>
  </si>
  <si>
    <t>PRO198</t>
  </si>
  <si>
    <t>PRO199</t>
  </si>
  <si>
    <t>PRO200</t>
  </si>
  <si>
    <t>Closing Stock</t>
  </si>
  <si>
    <t>Stock Status</t>
  </si>
  <si>
    <t>Reorder Required</t>
  </si>
  <si>
    <t xml:space="preserve"> Sales Executive </t>
  </si>
  <si>
    <t>Store</t>
  </si>
  <si>
    <t>RDP</t>
  </si>
  <si>
    <t>HDR</t>
  </si>
  <si>
    <t>HAL</t>
  </si>
  <si>
    <t>KSP</t>
  </si>
  <si>
    <t>DDN</t>
  </si>
  <si>
    <t>Harshit Thakur</t>
  </si>
  <si>
    <t>Sashank Mittal</t>
  </si>
  <si>
    <t>Charu Shankar</t>
  </si>
  <si>
    <t>Gauri</t>
  </si>
  <si>
    <t>Anjali Sharma</t>
  </si>
  <si>
    <t>Rishi Gupta</t>
  </si>
  <si>
    <t>Dinesh Mehar</t>
  </si>
  <si>
    <t>Neelima</t>
  </si>
  <si>
    <t>Issue ID</t>
  </si>
  <si>
    <t>Issue Description</t>
  </si>
  <si>
    <t>Impact</t>
  </si>
  <si>
    <t>Priority</t>
  </si>
  <si>
    <t>Status</t>
  </si>
  <si>
    <t>Gold Chain Stock Shortage</t>
  </si>
  <si>
    <t>Delayed Inventory Replenishment</t>
  </si>
  <si>
    <t>Sales Data Mismatch</t>
  </si>
  <si>
    <t>Missing Product Tagging</t>
  </si>
  <si>
    <t>High</t>
  </si>
  <si>
    <t>Medium</t>
  </si>
  <si>
    <t>Low</t>
  </si>
  <si>
    <t>Open</t>
  </si>
  <si>
    <t>In Progress</t>
  </si>
  <si>
    <t>Closed</t>
  </si>
  <si>
    <t>ISS-001</t>
  </si>
  <si>
    <t>Lost Sales Opportunity</t>
  </si>
  <si>
    <t>ISS-002</t>
  </si>
  <si>
    <t>Stock-Out Risk</t>
  </si>
  <si>
    <t>ISS-003</t>
  </si>
  <si>
    <t>Reporting Inaccuracy</t>
  </si>
  <si>
    <t>ISS-004</t>
  </si>
  <si>
    <t>Billing Delays</t>
  </si>
  <si>
    <t>ISS-005</t>
  </si>
  <si>
    <t>Supplier Delivery Delay</t>
  </si>
  <si>
    <t>Inventory Shortage</t>
  </si>
  <si>
    <t>ISS-006</t>
  </si>
  <si>
    <t>Incorrect Stock Count</t>
  </si>
  <si>
    <t>Inventory Variance</t>
  </si>
  <si>
    <t>ISS-007</t>
  </si>
  <si>
    <t>Damaged Jewellery Received</t>
  </si>
  <si>
    <t>Financial Loss</t>
  </si>
  <si>
    <t>ISS-008</t>
  </si>
  <si>
    <t>Slow Billing Process</t>
  </si>
  <si>
    <t>Poor Customer Experience</t>
  </si>
  <si>
    <t>ISS-009</t>
  </si>
  <si>
    <t>High Dead Stock Inventory</t>
  </si>
  <si>
    <t>Working Capital Blocked</t>
  </si>
  <si>
    <t>ISS-010</t>
  </si>
  <si>
    <t>Missing Purchase Records</t>
  </si>
  <si>
    <t>Audit Risk</t>
  </si>
  <si>
    <t>ISS-011</t>
  </si>
  <si>
    <t>Product Barcode Not Scanning</t>
  </si>
  <si>
    <t>Checkout Delays</t>
  </si>
  <si>
    <t>ISS-012</t>
  </si>
  <si>
    <t>Daily Sales Report Delay</t>
  </si>
  <si>
    <t>Decision-Making Impact</t>
  </si>
  <si>
    <t>ISS-013</t>
  </si>
  <si>
    <t>Incomplete Supplier Information</t>
  </si>
  <si>
    <t>Procurement Delay</t>
  </si>
  <si>
    <t>ISS-014</t>
  </si>
  <si>
    <t>Excess Inventory of Rings</t>
  </si>
  <si>
    <t>Overstock Risk</t>
  </si>
  <si>
    <t>ISS-015</t>
  </si>
  <si>
    <t>Inventory Dashboard Not Updated</t>
  </si>
  <si>
    <t>Visibility Issues</t>
  </si>
  <si>
    <t>Owner</t>
  </si>
  <si>
    <t>Inventory Manager</t>
  </si>
  <si>
    <t>Supply Chain Executive</t>
  </si>
  <si>
    <t>Business Analyst</t>
  </si>
  <si>
    <t>Store Supervisor</t>
  </si>
  <si>
    <t>Procurement Manager</t>
  </si>
  <si>
    <t>Inventory Auditor</t>
  </si>
  <si>
    <t>Quality Inspector</t>
  </si>
  <si>
    <t>Store Operations Manager</t>
  </si>
  <si>
    <t>Accounts Executive</t>
  </si>
  <si>
    <t>IT Support Executive</t>
  </si>
  <si>
    <t>Reporting Analyst</t>
  </si>
  <si>
    <t>Procurement Executive</t>
  </si>
  <si>
    <t>Category Manager</t>
  </si>
  <si>
    <t>Product ID</t>
  </si>
  <si>
    <t>Action ID</t>
  </si>
  <si>
    <t>Action Item</t>
  </si>
  <si>
    <t>Due Date</t>
  </si>
  <si>
    <t>ACT-001</t>
  </si>
  <si>
    <t>Update Inventory Records</t>
  </si>
  <si>
    <t>Inventory Executive</t>
  </si>
  <si>
    <t>ACT-002</t>
  </si>
  <si>
    <t>Verify Physical Stock Count</t>
  </si>
  <si>
    <t>Not Started</t>
  </si>
  <si>
    <t>ACT-003</t>
  </si>
  <si>
    <t>Follow Up with Delayed Supplier</t>
  </si>
  <si>
    <t>ACT-004</t>
  </si>
  <si>
    <t>Review Dead Stock Inventory</t>
  </si>
  <si>
    <t>ACT-005</t>
  </si>
  <si>
    <t>Correct Sales Data Discrepancies</t>
  </si>
  <si>
    <t>Completed</t>
  </si>
  <si>
    <t>ACT-006</t>
  </si>
  <si>
    <t>Update Product Tag Information</t>
  </si>
  <si>
    <t>ACT-007</t>
  </si>
  <si>
    <t>Resolve Barcode Scanning Issues</t>
  </si>
  <si>
    <t>Delayed</t>
  </si>
  <si>
    <t>ACT-008</t>
  </si>
  <si>
    <t>Prepare Weekly Inventory Report</t>
  </si>
  <si>
    <t>ACT-009</t>
  </si>
  <si>
    <t>Audit Purchase Records</t>
  </si>
  <si>
    <t>ACT-010</t>
  </si>
  <si>
    <t>Review Supplier Performance</t>
  </si>
  <si>
    <t>ACT-011</t>
  </si>
  <si>
    <t>Investigate Stock Variance</t>
  </si>
  <si>
    <t>ACT-012</t>
  </si>
  <si>
    <t>Update Inventory Dashboard</t>
  </si>
  <si>
    <t>ACT-013</t>
  </si>
  <si>
    <t>Conduct Quality Check on New Stock</t>
  </si>
  <si>
    <t>ACT-014</t>
  </si>
  <si>
    <t>Analyze Slow-Moving Products</t>
  </si>
  <si>
    <t>ACT-015</t>
  </si>
  <si>
    <t>Submit Monthly KPI Summary</t>
  </si>
  <si>
    <t>Stakeholder</t>
  </si>
  <si>
    <t>Information Needed</t>
  </si>
  <si>
    <t>Reporting Frequency</t>
  </si>
  <si>
    <t>Store Manager</t>
  </si>
  <si>
    <t>Daily Sales</t>
  </si>
  <si>
    <t>Daily</t>
  </si>
  <si>
    <t>Inventory Team</t>
  </si>
  <si>
    <t>Low Stock Products</t>
  </si>
  <si>
    <t>Regional Manager</t>
  </si>
  <si>
    <t>KPI Summary</t>
  </si>
  <si>
    <t>Weekly</t>
  </si>
  <si>
    <t>Procurement Team</t>
  </si>
  <si>
    <t>Reorder Requirements</t>
  </si>
  <si>
    <t>KPI</t>
  </si>
  <si>
    <t>Meaning</t>
  </si>
  <si>
    <t>Why It Matters</t>
  </si>
  <si>
    <t>Total sales</t>
  </si>
  <si>
    <t>Store performance</t>
  </si>
  <si>
    <t>Ticket Size</t>
  </si>
  <si>
    <t>Avg purchase per customer</t>
  </si>
  <si>
    <t>Upselling effectiveness</t>
  </si>
  <si>
    <t>NPS</t>
  </si>
  <si>
    <t>Customer loyalty</t>
  </si>
  <si>
    <t>Customer satisfaction</t>
  </si>
  <si>
    <t>CSAT</t>
  </si>
  <si>
    <t>Customer satisfaction score</t>
  </si>
  <si>
    <t>Service quality</t>
  </si>
  <si>
    <t>Inventory Turnover</t>
  </si>
  <si>
    <t>Stock movement speed</t>
  </si>
  <si>
    <t>Inventory efficiency</t>
  </si>
  <si>
    <t>Non-Buyer Data</t>
  </si>
  <si>
    <t>Customers who didn't purchase</t>
  </si>
  <si>
    <t>Lost opportunities</t>
  </si>
  <si>
    <t>Role</t>
  </si>
  <si>
    <t>Interest</t>
  </si>
  <si>
    <t>Influence</t>
  </si>
  <si>
    <t>Oversees store operations and sales performance</t>
  </si>
  <si>
    <t>Manages stock levels and inventory accuracy</t>
  </si>
  <si>
    <t>Handles supplier coordination and purchasing</t>
  </si>
  <si>
    <t>Finance Manager</t>
  </si>
  <si>
    <t>Monitors costs, budgets, and profitability</t>
  </si>
  <si>
    <t>Tracks KPIs, reports, and operational insights</t>
  </si>
  <si>
    <t>s</t>
  </si>
  <si>
    <t>Risk ID</t>
  </si>
  <si>
    <t>Risk Description</t>
  </si>
  <si>
    <t>Probability</t>
  </si>
  <si>
    <t>Mitigation Plan</t>
  </si>
  <si>
    <t>RSK-001</t>
  </si>
  <si>
    <t>Festival Stock Shortage</t>
  </si>
  <si>
    <t>Increase safety stock before peak season</t>
  </si>
  <si>
    <t>RSK-002</t>
  </si>
  <si>
    <t>Maintain backup suppliers</t>
  </si>
  <si>
    <t>RSK-003</t>
  </si>
  <si>
    <t>Sales Data Error</t>
  </si>
  <si>
    <t>Perform daily data validation</t>
  </si>
  <si>
    <t>RSK-004</t>
  </si>
  <si>
    <t>Inventory Count Mismatch</t>
  </si>
  <si>
    <t>Conduct weekly stock audits</t>
  </si>
  <si>
    <t>RSK-005</t>
  </si>
  <si>
    <t>Dashboard Reporting Delay</t>
  </si>
  <si>
    <t>Automate reporting process</t>
  </si>
  <si>
    <t>RSK-006</t>
  </si>
  <si>
    <t>Product Damage During Transit</t>
  </si>
  <si>
    <t>Improve packaging standards</t>
  </si>
  <si>
    <t>RSK-007</t>
  </si>
  <si>
    <t>Barcode System Failure</t>
  </si>
  <si>
    <t>Keep manual backup process</t>
  </si>
  <si>
    <t>RSK-008</t>
  </si>
  <si>
    <t>Excess Dead Stock Accumulation</t>
  </si>
  <si>
    <t>Review slow-moving inventory monthly</t>
  </si>
  <si>
    <t>RSK-009</t>
  </si>
  <si>
    <t>Incorrect Product Pricing</t>
  </si>
  <si>
    <t>Implement price approval checks</t>
  </si>
  <si>
    <t>RSK-010</t>
  </si>
  <si>
    <t>Purchase Order Processing Delay</t>
  </si>
  <si>
    <t>Establish approval timelines</t>
  </si>
  <si>
    <t>RSK-011</t>
  </si>
  <si>
    <t>Data Loss in Inventory System</t>
  </si>
  <si>
    <t>Schedule regular data backups</t>
  </si>
  <si>
    <t>RSK-012</t>
  </si>
  <si>
    <t>Sudden Demand Spike</t>
  </si>
  <si>
    <t>Monitor sales trends and forecasts</t>
  </si>
  <si>
    <t>RSK-013</t>
  </si>
  <si>
    <t>Incomplete Supplier Documentation</t>
  </si>
  <si>
    <t>Verify documents during onboarding</t>
  </si>
  <si>
    <t>RSK-014</t>
  </si>
  <si>
    <t>Staff Shortage During Peak Season</t>
  </si>
  <si>
    <t>Arrange temporary staffing support</t>
  </si>
  <si>
    <t>RSK-015</t>
  </si>
  <si>
    <t>KPI Reporting Inaccuracy</t>
  </si>
  <si>
    <t>Implement report review process</t>
  </si>
  <si>
    <t>Purpose</t>
  </si>
  <si>
    <t>Source Sheet</t>
  </si>
  <si>
    <t>Total Revenue</t>
  </si>
  <si>
    <t>Measure overall sales performance</t>
  </si>
  <si>
    <t>Inventory_Data</t>
  </si>
  <si>
    <t>Total Quantity Sold</t>
  </si>
  <si>
    <t>Track sales volume</t>
  </si>
  <si>
    <t>Average Revenue per Product</t>
  </si>
  <si>
    <t>Analyze product performance</t>
  </si>
  <si>
    <t>Total Products</t>
  </si>
  <si>
    <t>Count products being tracked</t>
  </si>
  <si>
    <t>Critical Stock Items</t>
  </si>
  <si>
    <t>Identify urgent replenishment needs</t>
  </si>
  <si>
    <t>Low Stock Items</t>
  </si>
  <si>
    <t>Monitor inventory risk</t>
  </si>
  <si>
    <t>Healthy Stock Items</t>
  </si>
  <si>
    <t>Monitor stock availability</t>
  </si>
  <si>
    <t>Open Issues</t>
  </si>
  <si>
    <t>Track unresolved operational problems</t>
  </si>
  <si>
    <t>Issue_Tracker</t>
  </si>
  <si>
    <t>High Priority Issues</t>
  </si>
  <si>
    <t>Focus on critical business problems</t>
  </si>
  <si>
    <t>Completed Actions</t>
  </si>
  <si>
    <t>Monitor execution progress</t>
  </si>
  <si>
    <t>Action_Tracker</t>
  </si>
  <si>
    <t>Delayed Actions</t>
  </si>
  <si>
    <t>Identify overdue work</t>
  </si>
  <si>
    <t>High Risks</t>
  </si>
  <si>
    <t>Monitor major business risks</t>
  </si>
  <si>
    <t>Risk_Register</t>
  </si>
  <si>
    <t>High Impact Risks</t>
  </si>
  <si>
    <t>Focus on severe risks</t>
  </si>
  <si>
    <t>Stakeholder Count</t>
  </si>
  <si>
    <t>Understand project involvement</t>
  </si>
  <si>
    <t>Stakeholder_Register</t>
  </si>
  <si>
    <t>Suppliers Count</t>
  </si>
  <si>
    <t>Track supplier coverage</t>
  </si>
  <si>
    <t>Potential Dashboard Charts (Planning Only)</t>
  </si>
  <si>
    <t>Chart</t>
  </si>
  <si>
    <t>Revenue by Product Category</t>
  </si>
  <si>
    <t>Compare product performance</t>
  </si>
  <si>
    <t>Monthly Revenue Trend</t>
  </si>
  <si>
    <t>Analyze sales trends</t>
  </si>
  <si>
    <t>Stock Status Distribution</t>
  </si>
  <si>
    <t>Critical vs Low vs Healthy</t>
  </si>
  <si>
    <t>Issues by Priority</t>
  </si>
  <si>
    <t>Operational issue monitoring</t>
  </si>
  <si>
    <t>Issues by Status</t>
  </si>
  <si>
    <t>Open vs Closed tracking</t>
  </si>
  <si>
    <t>Actions by Status</t>
  </si>
  <si>
    <t>Execution monitoring</t>
  </si>
  <si>
    <t>Risks by Probability</t>
  </si>
  <si>
    <t>Risk assessment</t>
  </si>
  <si>
    <t>Risks by Impact</t>
  </si>
  <si>
    <t>Risk prioritization</t>
  </si>
  <si>
    <t>Revenue by Supplier</t>
  </si>
  <si>
    <t>Supplier performance</t>
  </si>
  <si>
    <t>Top 10 Products by Revenue</t>
  </si>
  <si>
    <t>Product contribution analysis</t>
  </si>
  <si>
    <t>Jewellery Supply Chain &amp; Operations Dashboard</t>
  </si>
  <si>
    <t>Risk Tracker</t>
  </si>
  <si>
    <t>Issue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</si>
</sst>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9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24"/>
      <color theme="4" tint="-0.249977111117893"/>
      <name val="Calibri"/>
      <family val="2"/>
      <scheme val="minor"/>
    </font>
    <font>
      <b/>
      <u/>
      <sz val="22"/>
      <color theme="9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theme="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5"/>
      </top>
      <bottom/>
      <diagonal/>
    </border>
    <border>
      <left style="thin">
        <color indexed="64"/>
      </left>
      <right/>
      <top style="thin">
        <color theme="5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1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164" fontId="0" fillId="0" borderId="0" xfId="0" applyNumberFormat="1"/>
    <xf numFmtId="165" fontId="0" fillId="0" borderId="3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7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Lit>
              <c:ptCount val="10"/>
              <c:pt idx="0">
                <c:v> BANGLES &amp; BRACELET</c:v>
              </c:pt>
              <c:pt idx="1">
                <c:v>CHAIN</c:v>
              </c:pt>
              <c:pt idx="2">
                <c:v>COINS</c:v>
              </c:pt>
              <c:pt idx="3">
                <c:v>EARRING</c:v>
              </c:pt>
              <c:pt idx="4">
                <c:v>FINGER RING</c:v>
              </c:pt>
              <c:pt idx="5">
                <c:v>MANGAL SUTRA</c:v>
              </c:pt>
              <c:pt idx="6">
                <c:v>NECKLACE+ EARRING</c:v>
              </c:pt>
              <c:pt idx="7">
                <c:v>NOSE PIN</c:v>
              </c:pt>
              <c:pt idx="8">
                <c:v>PENDANT</c:v>
              </c:pt>
              <c:pt idx="9">
                <c:v>PENDENT SET</c:v>
              </c:pt>
            </c:strLit>
          </c:cat>
          <c:val>
            <c:numLit>
              <c:formatCode>General</c:formatCode>
              <c:ptCount val="10"/>
              <c:pt idx="0">
                <c:v>2502145.1500000004</c:v>
              </c:pt>
              <c:pt idx="1">
                <c:v>2420101.7799999998</c:v>
              </c:pt>
              <c:pt idx="2">
                <c:v>271883.35000000009</c:v>
              </c:pt>
              <c:pt idx="3">
                <c:v>5730971.7599999998</c:v>
              </c:pt>
              <c:pt idx="4">
                <c:v>5818013.1999999983</c:v>
              </c:pt>
              <c:pt idx="5">
                <c:v>2167248.2799999998</c:v>
              </c:pt>
              <c:pt idx="6">
                <c:v>6684150.9800000004</c:v>
              </c:pt>
              <c:pt idx="7">
                <c:v>270609.68</c:v>
              </c:pt>
              <c:pt idx="8">
                <c:v>2047844.9199999997</c:v>
              </c:pt>
              <c:pt idx="9">
                <c:v>603595.08000000007</c:v>
              </c:pt>
            </c:numLit>
          </c:val>
          <c:extLst>
            <c:ext xmlns:c16="http://schemas.microsoft.com/office/drawing/2014/chart" uri="{C3380CC4-5D6E-409C-BE32-E72D297353CC}">
              <c16:uniqueId val="{00000000-6372-4272-87EF-1B83AA236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2084559535"/>
        <c:axId val="2084568175"/>
      </c:barChart>
      <c:catAx>
        <c:axId val="208455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68175"/>
        <c:crosses val="autoZero"/>
        <c:auto val="0"/>
        <c:lblAlgn val="ctr"/>
        <c:lblOffset val="100"/>
        <c:noMultiLvlLbl val="0"/>
      </c:catAx>
      <c:valAx>
        <c:axId val="2084568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dk1">
                    <a:lumMod val="75000"/>
                    <a:lumOff val="25000"/>
                    <a:alpha val="91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59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u="sng"/>
              <a:t>Sales by Store</a:t>
            </a:r>
          </a:p>
          <a:p>
            <a:pPr>
              <a:defRPr sz="1600" u="sng"/>
            </a:pPr>
            <a:endParaRPr lang="en-IN" sz="1600" u="sng"/>
          </a:p>
        </c:rich>
      </c:tx>
      <c:layout>
        <c:manualLayout>
          <c:xMode val="edge"/>
          <c:yMode val="edge"/>
          <c:x val="0.34613888888888888"/>
          <c:y val="3.6217619536688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 BANGLES &amp; BRACELET</c:v>
              </c:pt>
              <c:pt idx="1">
                <c:v>BANGLES &amp; BRACELET</c:v>
              </c:pt>
              <c:pt idx="2">
                <c:v>CHAIN</c:v>
              </c:pt>
              <c:pt idx="3">
                <c:v>COINS</c:v>
              </c:pt>
              <c:pt idx="4">
                <c:v>EARRING</c:v>
              </c:pt>
              <c:pt idx="5">
                <c:v>FINGER RING</c:v>
              </c:pt>
              <c:pt idx="6">
                <c:v>MANGAL SUTRA</c:v>
              </c:pt>
              <c:pt idx="7">
                <c:v>NECKLACE+ EARRING</c:v>
              </c:pt>
              <c:pt idx="8">
                <c:v>NOSE PIN</c:v>
              </c:pt>
              <c:pt idx="9">
                <c:v>PENDANT</c:v>
              </c:pt>
              <c:pt idx="10">
                <c:v>PENDENT SET</c:v>
              </c:pt>
            </c:strLit>
          </c:cat>
          <c:val>
            <c:numLit>
              <c:formatCode>General</c:formatCode>
              <c:ptCount val="11"/>
              <c:pt idx="0">
                <c:v>44</c:v>
              </c:pt>
              <c:pt idx="1">
                <c:v>26</c:v>
              </c:pt>
              <c:pt idx="2">
                <c:v>46</c:v>
              </c:pt>
              <c:pt idx="3">
                <c:v>72</c:v>
              </c:pt>
              <c:pt idx="4">
                <c:v>136</c:v>
              </c:pt>
              <c:pt idx="5">
                <c:v>142</c:v>
              </c:pt>
              <c:pt idx="6">
                <c:v>56</c:v>
              </c:pt>
              <c:pt idx="7">
                <c:v>73</c:v>
              </c:pt>
              <c:pt idx="8">
                <c:v>3</c:v>
              </c:pt>
              <c:pt idx="9">
                <c:v>49</c:v>
              </c:pt>
              <c:pt idx="10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7D63-4DF6-AB3A-A9075F988B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84612815"/>
        <c:axId val="2084589295"/>
      </c:barChart>
      <c:catAx>
        <c:axId val="208461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89295"/>
        <c:crosses val="autoZero"/>
        <c:auto val="1"/>
        <c:lblAlgn val="ctr"/>
        <c:lblOffset val="100"/>
        <c:noMultiLvlLbl val="0"/>
      </c:catAx>
      <c:valAx>
        <c:axId val="208458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6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Inventory Status Distribution</a:t>
            </a:r>
          </a:p>
          <a:p>
            <a:pPr>
              <a:defRPr u="sng"/>
            </a:pPr>
            <a:endParaRPr lang="en-IN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B6-4A78-81D3-23B588ECA2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B6-4A78-81D3-23B588ECA2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B6-4A78-81D3-23B588ECA2E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Critical</c:v>
              </c:pt>
              <c:pt idx="1">
                <c:v>Healthy</c:v>
              </c:pt>
              <c:pt idx="2">
                <c:v>Low</c:v>
              </c:pt>
            </c:strLit>
          </c:cat>
          <c:val>
            <c:numLit>
              <c:formatCode>General</c:formatCode>
              <c:ptCount val="3"/>
              <c:pt idx="0">
                <c:v>97</c:v>
              </c:pt>
              <c:pt idx="1">
                <c:v>53</c:v>
              </c:pt>
              <c:pt idx="2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6-98B6-4A78-81D3-23B588ECA2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06095155735589"/>
          <c:y val="0.3563529460392254"/>
          <c:w val="0.15936101376056314"/>
          <c:h val="0.4751765281308340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Issue Status Distribution</a:t>
            </a:r>
          </a:p>
          <a:p>
            <a:pPr>
              <a:defRPr u="sng"/>
            </a:pP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C9-4425-8500-375E12AB43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C9-4425-8500-375E12AB43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C9-4425-8500-375E12AB43E7}"/>
              </c:ext>
            </c:extLst>
          </c:dPt>
          <c:dLbls>
            <c:dLbl>
              <c:idx val="0"/>
              <c:layout>
                <c:manualLayout>
                  <c:x val="0.1046831955922865"/>
                  <c:y val="-0.104438642297650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C9-4425-8500-375E12AB43E7}"/>
                </c:ext>
              </c:extLst>
            </c:dLbl>
            <c:dLbl>
              <c:idx val="1"/>
              <c:layout>
                <c:manualLayout>
                  <c:x val="0.14049586776859505"/>
                  <c:y val="3.04612706701479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C9-4425-8500-375E12AB43E7}"/>
                </c:ext>
              </c:extLst>
            </c:dLbl>
            <c:dLbl>
              <c:idx val="2"/>
              <c:layout>
                <c:manualLayout>
                  <c:x val="-0.13498622589531681"/>
                  <c:y val="5.65709312445604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C9-4425-8500-375E12AB43E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Closed</c:v>
              </c:pt>
              <c:pt idx="1">
                <c:v>In Progress</c:v>
              </c:pt>
              <c:pt idx="2">
                <c:v>Open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5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6-F2C9-4425-8500-375E12AB43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23235938482898"/>
          <c:y val="0.35710306120351143"/>
          <c:w val="0.15523871499533631"/>
          <c:h val="0.4683435784626138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441960</xdr:colOff>
      <xdr:row>5</xdr:row>
      <xdr:rowOff>137160</xdr:rowOff>
    </xdr:from>
    <xdr:to>
      <xdr:col>2</xdr:col>
      <xdr:colOff>670560</xdr:colOff>
      <xdr:row>9</xdr:row>
      <xdr:rowOff>99060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A811905-569B-9825-39BB-EBF4D6C59DFD}"/>
            </a:ext>
          </a:extLst>
        </xdr:cNvPr>
        <xdr:cNvSpPr/>
      </xdr:nvSpPr>
      <xdr:spPr>
        <a:xfrm>
          <a:off x="1051560" y="1264920"/>
          <a:ext cx="1615440" cy="69342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Total_Revenue</a:t>
          </a:r>
        </a:p>
      </xdr:txBody>
    </xdr:sp>
    <xdr:clientData/>
  </xdr:twoCellAnchor>
  <xdr:twoCellAnchor>
    <xdr:from>
      <xdr:col>3</xdr:col>
      <xdr:colOff>182880</xdr:colOff>
      <xdr:row>5</xdr:row>
      <xdr:rowOff>144780</xdr:rowOff>
    </xdr:from>
    <xdr:to>
      <xdr:col>5</xdr:col>
      <xdr:colOff>434340</xdr:colOff>
      <xdr:row>9</xdr:row>
      <xdr:rowOff>106680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D911102-A264-41E0-8454-685B90E69CBD}"/>
            </a:ext>
          </a:extLst>
        </xdr:cNvPr>
        <xdr:cNvSpPr/>
      </xdr:nvSpPr>
      <xdr:spPr>
        <a:xfrm>
          <a:off x="3154680" y="1272540"/>
          <a:ext cx="1470660" cy="69342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Total_Quantity_Sold</a:t>
          </a:r>
        </a:p>
      </xdr:txBody>
    </xdr:sp>
    <xdr:clientData/>
  </xdr:twoCellAnchor>
  <xdr:twoCellAnchor>
    <xdr:from>
      <xdr:col>6</xdr:col>
      <xdr:colOff>396240</xdr:colOff>
      <xdr:row>5</xdr:row>
      <xdr:rowOff>137160</xdr:rowOff>
    </xdr:from>
    <xdr:to>
      <xdr:col>9</xdr:col>
      <xdr:colOff>129540</xdr:colOff>
      <xdr:row>9</xdr:row>
      <xdr:rowOff>99060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2A7FA09-03B8-478D-8F2E-1038351084CF}"/>
            </a:ext>
          </a:extLst>
        </xdr:cNvPr>
        <xdr:cNvSpPr/>
      </xdr:nvSpPr>
      <xdr:spPr>
        <a:xfrm>
          <a:off x="5196840" y="1264920"/>
          <a:ext cx="1562100" cy="69342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Open_Issues</a:t>
          </a:r>
        </a:p>
      </xdr:txBody>
    </xdr:sp>
    <xdr:clientData/>
  </xdr:twoCellAnchor>
  <xdr:twoCellAnchor>
    <xdr:from>
      <xdr:col>9</xdr:col>
      <xdr:colOff>601980</xdr:colOff>
      <xdr:row>5</xdr:row>
      <xdr:rowOff>137160</xdr:rowOff>
    </xdr:from>
    <xdr:to>
      <xdr:col>12</xdr:col>
      <xdr:colOff>342900</xdr:colOff>
      <xdr:row>9</xdr:row>
      <xdr:rowOff>99060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A55EE33-A7AC-4F49-AF35-142548EE9453}"/>
            </a:ext>
          </a:extLst>
        </xdr:cNvPr>
        <xdr:cNvSpPr/>
      </xdr:nvSpPr>
      <xdr:spPr>
        <a:xfrm>
          <a:off x="7231380" y="1264920"/>
          <a:ext cx="1569720" cy="69342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Critical_Stock_Items</a:t>
          </a:r>
        </a:p>
      </xdr:txBody>
    </xdr:sp>
    <xdr:clientData/>
  </xdr:twoCellAnchor>
  <xdr:twoCellAnchor>
    <xdr:from>
      <xdr:col>13</xdr:col>
      <xdr:colOff>205740</xdr:colOff>
      <xdr:row>5</xdr:row>
      <xdr:rowOff>129540</xdr:rowOff>
    </xdr:from>
    <xdr:to>
      <xdr:col>15</xdr:col>
      <xdr:colOff>472440</xdr:colOff>
      <xdr:row>9</xdr:row>
      <xdr:rowOff>91440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E8FD434-51B4-4C2E-85A9-70A5D45FCF8F}"/>
            </a:ext>
          </a:extLst>
        </xdr:cNvPr>
        <xdr:cNvSpPr/>
      </xdr:nvSpPr>
      <xdr:spPr>
        <a:xfrm>
          <a:off x="9273540" y="1257300"/>
          <a:ext cx="1485900" cy="69342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High_Risk</a:t>
          </a:r>
        </a:p>
      </xdr:txBody>
    </xdr:sp>
    <xdr:clientData/>
  </xdr:twoCellAnchor>
  <xdr:twoCellAnchor>
    <xdr:from>
      <xdr:col>1</xdr:col>
      <xdr:colOff>632460</xdr:colOff>
      <xdr:row>7</xdr:row>
      <xdr:rowOff>45720</xdr:rowOff>
    </xdr:from>
    <xdr:to>
      <xdr:col>2</xdr:col>
      <xdr:colOff>533400</xdr:colOff>
      <xdr:row>8</xdr:row>
      <xdr:rowOff>106680</xdr:rowOff>
    </xdr:to>
    <xdr:sp macro="" textlink="$B$9">
      <xdr:nvSpPr>
        <xdr:cNvPr id="18" name="TextBox 17">
          <a:extLst>
            <a:ext uri="{FF2B5EF4-FFF2-40B4-BE49-F238E27FC236}">
              <a16:creationId xmlns:a16="http://schemas.microsoft.com/office/drawing/2014/main" id="{702268A3-B0D6-FAB7-15FD-279DB597B790}"/>
            </a:ext>
          </a:extLst>
        </xdr:cNvPr>
        <xdr:cNvSpPr txBox="1"/>
      </xdr:nvSpPr>
      <xdr:spPr>
        <a:xfrm>
          <a:off x="1242060" y="1539240"/>
          <a:ext cx="1287780" cy="24384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F43E82-B260-4AC2-8F41-3CA60808DDC5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₹ 2,85,16,564.18</a:t>
          </a:fld>
          <a:endParaRPr lang="en-IN" sz="1200" b="1"/>
        </a:p>
      </xdr:txBody>
    </xdr:sp>
    <xdr:clientData/>
  </xdr:twoCellAnchor>
  <xdr:twoCellAnchor>
    <xdr:from>
      <xdr:col>3</xdr:col>
      <xdr:colOff>502920</xdr:colOff>
      <xdr:row>7</xdr:row>
      <xdr:rowOff>45720</xdr:rowOff>
    </xdr:from>
    <xdr:to>
      <xdr:col>4</xdr:col>
      <xdr:colOff>586740</xdr:colOff>
      <xdr:row>8</xdr:row>
      <xdr:rowOff>129540</xdr:rowOff>
    </xdr:to>
    <xdr:sp macro="" textlink="$E$9">
      <xdr:nvSpPr>
        <xdr:cNvPr id="19" name="TextBox 18">
          <a:extLst>
            <a:ext uri="{FF2B5EF4-FFF2-40B4-BE49-F238E27FC236}">
              <a16:creationId xmlns:a16="http://schemas.microsoft.com/office/drawing/2014/main" id="{803C4FE7-BFCD-2094-34F5-68434B1C81A7}"/>
            </a:ext>
          </a:extLst>
        </xdr:cNvPr>
        <xdr:cNvSpPr txBox="1"/>
      </xdr:nvSpPr>
      <xdr:spPr>
        <a:xfrm>
          <a:off x="3474720" y="1539240"/>
          <a:ext cx="693420" cy="2667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AEE0529-E91D-420B-B725-ADFCE50E077C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1118</a:t>
          </a:fld>
          <a:endParaRPr lang="en-IN" sz="1100" b="1"/>
        </a:p>
      </xdr:txBody>
    </xdr:sp>
    <xdr:clientData/>
  </xdr:twoCellAnchor>
  <xdr:twoCellAnchor>
    <xdr:from>
      <xdr:col>10</xdr:col>
      <xdr:colOff>411480</xdr:colOff>
      <xdr:row>7</xdr:row>
      <xdr:rowOff>53340</xdr:rowOff>
    </xdr:from>
    <xdr:to>
      <xdr:col>11</xdr:col>
      <xdr:colOff>441960</xdr:colOff>
      <xdr:row>8</xdr:row>
      <xdr:rowOff>99060</xdr:rowOff>
    </xdr:to>
    <xdr:sp macro="" textlink="$K$9">
      <xdr:nvSpPr>
        <xdr:cNvPr id="22" name="TextBox 21">
          <a:extLst>
            <a:ext uri="{FF2B5EF4-FFF2-40B4-BE49-F238E27FC236}">
              <a16:creationId xmlns:a16="http://schemas.microsoft.com/office/drawing/2014/main" id="{3BAE2162-2A47-24A5-79D9-FECCF4E467F8}"/>
            </a:ext>
          </a:extLst>
        </xdr:cNvPr>
        <xdr:cNvSpPr txBox="1"/>
      </xdr:nvSpPr>
      <xdr:spPr>
        <a:xfrm>
          <a:off x="7650480" y="1546860"/>
          <a:ext cx="640080" cy="2286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2E5CACF-1B94-4812-99B0-9039841E6B63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97</a:t>
          </a:fld>
          <a:endParaRPr lang="en-IN" sz="1100" b="1"/>
        </a:p>
      </xdr:txBody>
    </xdr:sp>
    <xdr:clientData/>
  </xdr:twoCellAnchor>
  <xdr:twoCellAnchor>
    <xdr:from>
      <xdr:col>7</xdr:col>
      <xdr:colOff>213360</xdr:colOff>
      <xdr:row>7</xdr:row>
      <xdr:rowOff>53340</xdr:rowOff>
    </xdr:from>
    <xdr:to>
      <xdr:col>8</xdr:col>
      <xdr:colOff>320040</xdr:colOff>
      <xdr:row>8</xdr:row>
      <xdr:rowOff>76200</xdr:rowOff>
    </xdr:to>
    <xdr:sp macro="" textlink="$H$9">
      <xdr:nvSpPr>
        <xdr:cNvPr id="24" name="TextBox 23">
          <a:extLst>
            <a:ext uri="{FF2B5EF4-FFF2-40B4-BE49-F238E27FC236}">
              <a16:creationId xmlns:a16="http://schemas.microsoft.com/office/drawing/2014/main" id="{C13F832F-C26C-CFFD-89FF-06600CC989F0}"/>
            </a:ext>
          </a:extLst>
        </xdr:cNvPr>
        <xdr:cNvSpPr txBox="1"/>
      </xdr:nvSpPr>
      <xdr:spPr>
        <a:xfrm>
          <a:off x="5623560" y="1546860"/>
          <a:ext cx="716280" cy="20574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739AF0A-E811-44CB-9D5C-5E439EF0EC62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</a:t>
          </a:fld>
          <a:endParaRPr lang="en-IN" sz="1100" b="1"/>
        </a:p>
      </xdr:txBody>
    </xdr:sp>
    <xdr:clientData/>
  </xdr:twoCellAnchor>
  <xdr:oneCellAnchor>
    <xdr:from>
      <xdr:col>13</xdr:col>
      <xdr:colOff>411480</xdr:colOff>
      <xdr:row>5</xdr:row>
      <xdr:rowOff>30480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0389C03-DC2D-4A07-4AA4-6F50A53ED977}"/>
            </a:ext>
          </a:extLst>
        </xdr:cNvPr>
        <xdr:cNvSpPr txBox="1"/>
      </xdr:nvSpPr>
      <xdr:spPr>
        <a:xfrm>
          <a:off x="9113520" y="944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14</xdr:col>
      <xdr:colOff>22860</xdr:colOff>
      <xdr:row>7</xdr:row>
      <xdr:rowOff>45720</xdr:rowOff>
    </xdr:from>
    <xdr:to>
      <xdr:col>14</xdr:col>
      <xdr:colOff>594360</xdr:colOff>
      <xdr:row>8</xdr:row>
      <xdr:rowOff>83820</xdr:rowOff>
    </xdr:to>
    <xdr:sp macro="" textlink="$N$9">
      <xdr:nvSpPr>
        <xdr:cNvPr id="27" name="TextBox 26">
          <a:extLst>
            <a:ext uri="{FF2B5EF4-FFF2-40B4-BE49-F238E27FC236}">
              <a16:creationId xmlns:a16="http://schemas.microsoft.com/office/drawing/2014/main" id="{564C9652-0AF3-11C0-45D1-E44E11B9CEE4}"/>
            </a:ext>
          </a:extLst>
        </xdr:cNvPr>
        <xdr:cNvSpPr txBox="1"/>
      </xdr:nvSpPr>
      <xdr:spPr>
        <a:xfrm>
          <a:off x="9700260" y="1539240"/>
          <a:ext cx="571500" cy="22098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9</a:t>
          </a:r>
          <a:fld id="{EB0849DC-55FC-4CED-8812-D7E9B8286A8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IN" sz="1100" b="1"/>
        </a:p>
      </xdr:txBody>
    </xdr:sp>
    <xdr:clientData/>
  </xdr:twoCellAnchor>
  <xdr:twoCellAnchor>
    <xdr:from>
      <xdr:col>1</xdr:col>
      <xdr:colOff>15240</xdr:colOff>
      <xdr:row>9</xdr:row>
      <xdr:rowOff>167640</xdr:rowOff>
    </xdr:from>
    <xdr:to>
      <xdr:col>7</xdr:col>
      <xdr:colOff>495300</xdr:colOff>
      <xdr:row>27</xdr:row>
      <xdr:rowOff>30480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7046039-1421-4F8A-99E8-5A3016CFC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9</xdr:row>
      <xdr:rowOff>160020</xdr:rowOff>
    </xdr:from>
    <xdr:to>
      <xdr:col>16</xdr:col>
      <xdr:colOff>144780</xdr:colOff>
      <xdr:row>27</xdr:row>
      <xdr:rowOff>22860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B427EED-8F6B-438D-BFF7-0422094FD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27</xdr:row>
      <xdr:rowOff>30480</xdr:rowOff>
    </xdr:from>
    <xdr:to>
      <xdr:col>7</xdr:col>
      <xdr:colOff>487680</xdr:colOff>
      <xdr:row>44</xdr:row>
      <xdr:rowOff>106680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7D3B945-ECF4-44C4-B3D2-4E28ADB3D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487680</xdr:colOff>
      <xdr:row>27</xdr:row>
      <xdr:rowOff>30480</xdr:rowOff>
    </xdr:from>
    <xdr:to>
      <xdr:col>16</xdr:col>
      <xdr:colOff>129540</xdr:colOff>
      <xdr:row>44</xdr:row>
      <xdr:rowOff>91440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13A1548-0943-4FC6-86D3-FC59F5ECF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D5455-9B17-452D-A6AE-D387A2507AEB}" name="Table1" displayName="Table1" ref="A1:F202" totalsRowShown="0" headerRowDxfId="69" dataDxfId="67" headerRowBorderDxfId="68" tableBorderDxfId="66" totalsRowBorderDxfId="65">
  <autoFilter ref="A1:F202" xr:uid="{2FAD5455-9B17-452D-A6AE-D387A2507AEB}"/>
  <tableColumns count="6">
    <tableColumn id="1" xr3:uid="{1D8AE2EB-8E27-4B20-BA91-941E25FED526}" name="Date" dataDxfId="64"/>
    <tableColumn id="2" xr3:uid="{88BD7986-079C-431D-B97A-B8EA80665C87}" name="Store" dataDxfId="63"/>
    <tableColumn id="3" xr3:uid="{1C906352-3D8D-457F-9AD0-F3DFF6AA7AC7}" name="Product Category" dataDxfId="62"/>
    <tableColumn id="4" xr3:uid="{C19269DA-4503-4B67-B108-B4957B490B94}" name="Quantity Sold" dataDxfId="61"/>
    <tableColumn id="5" xr3:uid="{04477698-1263-4ADA-A4C7-1427497216F8}" name="Revenue" dataDxfId="60"/>
    <tableColumn id="6" xr3:uid="{8FB16955-DFAD-4AA4-A56C-32B87D0FB641}" name=" Sales Executive " dataDxfId="5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D116B-E35D-4471-982C-F66937FE2254}" name="Table2" displayName="Table2" ref="A1:G201" totalsRowShown="0" headerRowDxfId="58" dataDxfId="56" headerRowBorderDxfId="57" tableBorderDxfId="55">
  <autoFilter ref="A1:G201" xr:uid="{C7ED116B-E35D-4471-982C-F66937FE2254}"/>
  <tableColumns count="7">
    <tableColumn id="1" xr3:uid="{4B7F0391-12E6-4CEC-8891-AABA11641B4F}" name="Product ID" dataDxfId="54"/>
    <tableColumn id="2" xr3:uid="{034FD31E-72F6-4406-9A69-554CBC2AD10F}" name="Product Category" dataDxfId="53"/>
    <tableColumn id="3" xr3:uid="{D004709A-E808-4B63-BD07-C6FBFC6DAC57}" name="Opening Stock" dataDxfId="52"/>
    <tableColumn id="4" xr3:uid="{F5431A3C-61AB-4329-912A-DE02BCB88812}" name="Sold" dataDxfId="51"/>
    <tableColumn id="5" xr3:uid="{BF894EDE-F076-47FC-937D-CAE261A46A38}" name="Closing Stock" dataDxfId="50">
      <calculatedColumnFormula>C2-D2</calculatedColumnFormula>
    </tableColumn>
    <tableColumn id="6" xr3:uid="{9FB0EA45-0D2A-4978-9DC7-F96D2E1D0382}" name="Stock Status" dataDxfId="49">
      <calculatedColumnFormula>IF(E2&lt;=2,"Critical",IF(E2&lt;=4,"Low","Healthy"))</calculatedColumnFormula>
    </tableColumn>
    <tableColumn id="7" xr3:uid="{5A9B3062-70EC-4D5F-ADF4-D95815B4C11B}" name="Reorder Required" dataDxfId="48">
      <calculatedColumnFormula>IF(F2="critical","Yes","No")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3DAC7C-3BDE-45C5-BDDB-233FF7878DD9}" name="Table3" displayName="Table3" ref="A5:F20" totalsRowShown="0" headerRowDxfId="47" dataDxfId="46">
  <autoFilter ref="A5:F20" xr:uid="{B33DAC7C-3BDE-45C5-BDDB-233FF7878DD9}"/>
  <tableColumns count="6">
    <tableColumn id="1" xr3:uid="{230734EA-E85C-4C21-9060-86D40CF0994F}" name="Issue ID" dataDxfId="45"/>
    <tableColumn id="2" xr3:uid="{CD773590-6485-4E81-9CFF-E53574E14437}" name="Issue Description" dataDxfId="44"/>
    <tableColumn id="3" xr3:uid="{1CCB5D04-3B13-4755-873C-75D060AD6B81}" name="Impact" dataDxfId="43"/>
    <tableColumn id="4" xr3:uid="{23B7246D-CD68-469B-926A-1CE4BCC5755C}" name="Priority" dataDxfId="42"/>
    <tableColumn id="5" xr3:uid="{50EE78C1-F7FB-42D7-AD23-F78E412DFA96}" name="Status" dataDxfId="41"/>
    <tableColumn id="6" xr3:uid="{0B34CBEA-793A-4937-B566-5F0608899BCA}" name="Owner" dataDxfId="4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C887FC-F329-425E-9E5D-5BD7223042EE}" name="Table4" displayName="Table4" ref="A1:E16" totalsRowShown="0" headerRowDxfId="39" dataDxfId="38">
  <autoFilter ref="A1:E16" xr:uid="{B5C887FC-F329-425E-9E5D-5BD7223042EE}"/>
  <tableColumns count="5">
    <tableColumn id="1" xr3:uid="{B918B4BE-99AA-4582-B7C4-70E618A1FB46}" name="Action ID" dataDxfId="37"/>
    <tableColumn id="2" xr3:uid="{0AC004F3-6C13-4857-A34B-37E33052F11C}" name="Action Item" dataDxfId="36"/>
    <tableColumn id="3" xr3:uid="{58BC0F00-C868-4089-901A-E13D2FAB86F6}" name="Owner" dataDxfId="35"/>
    <tableColumn id="4" xr3:uid="{03A420FC-EB69-407F-8469-3381A5220F40}" name="Due Date" dataDxfId="34"/>
    <tableColumn id="5" xr3:uid="{D696FACF-AD88-4E3D-AA1D-F55CD7FB25AD}" name="Status" dataDxfId="33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5A45E3-E5F3-43FC-BD58-B785C7E1A0E4}" name="Table5" displayName="Table5" ref="A1:C5" totalsRowShown="0" headerRowDxfId="32" dataDxfId="31">
  <autoFilter ref="A1:C5" xr:uid="{C75A45E3-E5F3-43FC-BD58-B785C7E1A0E4}"/>
  <tableColumns count="3">
    <tableColumn id="1" xr3:uid="{2B8495F8-985E-46FD-B57B-917BAEB3941F}" name="Stakeholder" dataDxfId="30"/>
    <tableColumn id="2" xr3:uid="{C7384EBC-DE3F-42CD-8453-FCDE01AAE8ED}" name="Information Needed" dataDxfId="29"/>
    <tableColumn id="3" xr3:uid="{8E95C991-5742-46E8-AB6E-35EE2CBA37AC}" name="Reporting Frequency" dataDxfId="28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7EE57E-B1F7-422E-9FF9-B48495928175}" name="Table6" displayName="Table6" ref="A1:C7" totalsRowShown="0" headerRowDxfId="27" dataDxfId="26">
  <autoFilter ref="A1:C7" xr:uid="{3C7EE57E-B1F7-422E-9FF9-B48495928175}"/>
  <tableColumns count="3">
    <tableColumn id="1" xr3:uid="{0CC5A763-7E8C-4D06-88D0-4906ADBB61CA}" name="KPI" dataDxfId="25"/>
    <tableColumn id="2" xr3:uid="{C72EEB23-6BC9-4961-B1D3-5D6FA014AB39}" name="Meaning" dataDxfId="24"/>
    <tableColumn id="3" xr3:uid="{FBCFE4A9-CD9E-4C15-B511-36A3982ECBC8}" name="Why It Matters" dataDxfId="23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21B833-616A-4B78-B6A5-A5869ED8462B}" name="Table8" displayName="Table8" ref="A1:D6" totalsRowShown="0" headerRowDxfId="22" dataDxfId="21">
  <autoFilter ref="A1:D6" xr:uid="{AD21B833-616A-4B78-B6A5-A5869ED8462B}"/>
  <tableColumns count="4">
    <tableColumn id="1" xr3:uid="{6DB278C1-6533-4C87-BB83-11D236A97994}" name="Stakeholder" dataDxfId="20"/>
    <tableColumn id="2" xr3:uid="{EBAECF6B-C6D5-4056-BBD9-ACAC65966ECF}" name="Role" dataDxfId="19"/>
    <tableColumn id="3" xr3:uid="{48C5B348-EBE6-48BE-BA6C-40397A433D4A}" name="Interest" dataDxfId="18"/>
    <tableColumn id="4" xr3:uid="{549450E8-CE10-40D2-A966-5B725779A5EF}" name="Influence" dataDxfId="17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C3C519-D325-4278-A826-AD80663263EA}" name="Table9" displayName="Table9" ref="A4:F19" totalsRowShown="0" headerRowDxfId="16" dataDxfId="15">
  <autoFilter ref="A4:F19" xr:uid="{E7C3C519-D325-4278-A826-AD80663263EA}"/>
  <tableColumns count="6">
    <tableColumn id="1" xr3:uid="{9B37868C-89AF-4E67-8B79-0346399FDD3A}" name="Risk ID" dataDxfId="14"/>
    <tableColumn id="2" xr3:uid="{4FE44E27-A9BD-4381-880D-239C4BD0EA33}" name="Risk Description" dataDxfId="13"/>
    <tableColumn id="3" xr3:uid="{102ED1A0-B4C2-4456-9F4C-D04A989C4A29}" name="Probability" dataDxfId="12"/>
    <tableColumn id="4" xr3:uid="{850BFDE4-0D2C-4DDD-890F-AF1FC9C55EC1}" name="Impact" dataDxfId="11"/>
    <tableColumn id="5" xr3:uid="{204595E4-80C9-4DDE-A917-CCF51470D9D7}" name="Mitigation Plan" dataDxfId="10"/>
    <tableColumn id="6" xr3:uid="{DBFDA144-9833-45F3-9B6B-B946D906F182}" name="Owner" dataDxfId="9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8305A9-EE5F-44C2-B9E8-88197C6A1FCF}" name="Table11" displayName="Table11" ref="A1:C16" totalsRowShown="0" headerRowDxfId="8" dataDxfId="7">
  <autoFilter ref="A1:C16" xr:uid="{488305A9-EE5F-44C2-B9E8-88197C6A1FCF}"/>
  <tableColumns count="3">
    <tableColumn id="1" xr3:uid="{D46BAE91-CE72-4655-B40B-C0F8D2BF88D6}" name="KPI" dataDxfId="6"/>
    <tableColumn id="2" xr3:uid="{4DEA15E9-9A98-43A9-8947-2F73BC07842B}" name="Purpose" dataDxfId="5"/>
    <tableColumn id="3" xr3:uid="{B499CB9C-A0E3-4998-960B-6A9B294D07F3}" name="Source Sheet" dataDxfId="4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872645-964C-4215-8508-5637A34FB06B}" name="Table7" displayName="Table7" ref="A21:B31" totalsRowShown="0" headerRowDxfId="3" dataDxfId="2">
  <autoFilter ref="A21:B31" xr:uid="{AF872645-964C-4215-8508-5637A34FB06B}"/>
  <tableColumns count="2">
    <tableColumn id="1" xr3:uid="{B5366E94-5A35-4D31-9B97-CBB6D3ED4FBE}" name="Chart" dataDxfId="1"/>
    <tableColumn id="2" xr3:uid="{4EBB9B4A-8515-4A2D-998B-489B8A6AAA1E}" name="Purpos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4660-EDF9-4179-8BBE-EF05E876C0F3}">
  <dimension ref="A1:F202"/>
  <sheetViews>
    <sheetView showGridLines="0" showRowColHeaders="0" topLeftCell="A168" workbookViewId="0">
      <selection activeCell="I194" sqref="I194"/>
    </sheetView>
  </sheetViews>
  <sheetFormatPr defaultRowHeight="14.4"/>
  <cols>
    <col min="1" max="1" width="23.88671875" style="1" customWidth="1"/>
    <col min="2" max="5" width="23.88671875" style="2" customWidth="1"/>
    <col min="6" max="6" width="19.109375" customWidth="1"/>
    <col min="7" max="7" width="8.88671875" customWidth="1"/>
  </cols>
  <sheetData>
    <row r="1" spans="1:6">
      <c r="A1" s="6" t="s">
        <v>0</v>
      </c>
      <c r="B1" s="7" t="s">
        <v>221</v>
      </c>
      <c r="C1" s="7" t="s">
        <v>1</v>
      </c>
      <c r="D1" s="7" t="s">
        <v>2</v>
      </c>
      <c r="E1" s="8" t="s">
        <v>3</v>
      </c>
      <c r="F1" s="7" t="s">
        <v>220</v>
      </c>
    </row>
    <row r="2" spans="1:6">
      <c r="A2" s="4">
        <v>46166</v>
      </c>
      <c r="B2" s="3" t="s">
        <v>223</v>
      </c>
      <c r="C2" s="3" t="s">
        <v>6</v>
      </c>
      <c r="D2" s="3">
        <v>5</v>
      </c>
      <c r="E2" s="21">
        <v>385212</v>
      </c>
      <c r="F2" s="7" t="s">
        <v>229</v>
      </c>
    </row>
    <row r="3" spans="1:6">
      <c r="A3" s="4">
        <v>46096</v>
      </c>
      <c r="B3" s="3" t="s">
        <v>222</v>
      </c>
      <c r="C3" s="3" t="s">
        <v>6</v>
      </c>
      <c r="D3" s="3">
        <v>10</v>
      </c>
      <c r="E3" s="21">
        <v>50570.45</v>
      </c>
      <c r="F3" s="3" t="s">
        <v>227</v>
      </c>
    </row>
    <row r="4" spans="1:6">
      <c r="A4" s="4">
        <v>46030</v>
      </c>
      <c r="B4" s="3" t="s">
        <v>222</v>
      </c>
      <c r="C4" s="3" t="s">
        <v>7</v>
      </c>
      <c r="D4" s="3">
        <v>9</v>
      </c>
      <c r="E4" s="21">
        <v>53847.22</v>
      </c>
      <c r="F4" s="3" t="s">
        <v>230</v>
      </c>
    </row>
    <row r="5" spans="1:6">
      <c r="A5" s="4">
        <v>46079</v>
      </c>
      <c r="B5" s="3" t="s">
        <v>222</v>
      </c>
      <c r="C5" s="3" t="s">
        <v>8</v>
      </c>
      <c r="D5" s="3">
        <v>9</v>
      </c>
      <c r="E5" s="21">
        <v>44755.82</v>
      </c>
      <c r="F5" s="3" t="s">
        <v>231</v>
      </c>
    </row>
    <row r="6" spans="1:6">
      <c r="A6" s="4">
        <v>46036</v>
      </c>
      <c r="B6" s="3" t="s">
        <v>225</v>
      </c>
      <c r="C6" s="3" t="s">
        <v>6</v>
      </c>
      <c r="D6" s="3">
        <v>9</v>
      </c>
      <c r="E6" s="21">
        <v>548936.43000000005</v>
      </c>
      <c r="F6" s="3" t="s">
        <v>229</v>
      </c>
    </row>
    <row r="7" spans="1:6">
      <c r="A7" s="4">
        <v>46063</v>
      </c>
      <c r="B7" s="3" t="s">
        <v>222</v>
      </c>
      <c r="C7" s="3" t="s">
        <v>6</v>
      </c>
      <c r="D7" s="3">
        <v>4</v>
      </c>
      <c r="E7" s="21">
        <v>62233.77</v>
      </c>
      <c r="F7" s="3" t="s">
        <v>231</v>
      </c>
    </row>
    <row r="8" spans="1:6">
      <c r="A8" s="4">
        <v>46065</v>
      </c>
      <c r="B8" s="3" t="s">
        <v>226</v>
      </c>
      <c r="C8" s="3" t="s">
        <v>6</v>
      </c>
      <c r="D8" s="3">
        <v>4</v>
      </c>
      <c r="E8" s="21">
        <v>130270.28</v>
      </c>
      <c r="F8" s="3" t="s">
        <v>233</v>
      </c>
    </row>
    <row r="9" spans="1:6">
      <c r="A9" s="4">
        <v>46081</v>
      </c>
      <c r="B9" s="3" t="s">
        <v>225</v>
      </c>
      <c r="C9" s="3" t="s">
        <v>9</v>
      </c>
      <c r="D9" s="3">
        <v>7</v>
      </c>
      <c r="E9" s="21">
        <v>293422.7</v>
      </c>
      <c r="F9" s="3" t="s">
        <v>231</v>
      </c>
    </row>
    <row r="10" spans="1:6">
      <c r="A10" s="4">
        <v>46052</v>
      </c>
      <c r="B10" s="3" t="s">
        <v>224</v>
      </c>
      <c r="C10" s="3" t="s">
        <v>9</v>
      </c>
      <c r="D10" s="3">
        <v>10</v>
      </c>
      <c r="E10" s="21">
        <v>50512.18</v>
      </c>
      <c r="F10" s="3" t="s">
        <v>229</v>
      </c>
    </row>
    <row r="11" spans="1:6">
      <c r="A11" s="4">
        <v>46114</v>
      </c>
      <c r="B11" s="3" t="s">
        <v>224</v>
      </c>
      <c r="C11" s="3" t="s">
        <v>6</v>
      </c>
      <c r="D11" s="3">
        <v>1</v>
      </c>
      <c r="E11" s="21">
        <v>40540.58</v>
      </c>
      <c r="F11" s="3" t="s">
        <v>234</v>
      </c>
    </row>
    <row r="12" spans="1:6">
      <c r="A12" s="4">
        <v>46040</v>
      </c>
      <c r="B12" s="3" t="s">
        <v>226</v>
      </c>
      <c r="C12" s="2" t="s">
        <v>12</v>
      </c>
      <c r="D12" s="3">
        <v>9</v>
      </c>
      <c r="E12" s="21">
        <v>114768.21</v>
      </c>
      <c r="F12" s="3" t="s">
        <v>233</v>
      </c>
    </row>
    <row r="13" spans="1:6">
      <c r="A13" s="4">
        <v>46126</v>
      </c>
      <c r="B13" s="3" t="s">
        <v>224</v>
      </c>
      <c r="C13" s="3" t="s">
        <v>6</v>
      </c>
      <c r="D13" s="3">
        <v>1</v>
      </c>
      <c r="E13" s="21">
        <v>57284.17</v>
      </c>
      <c r="F13" s="3" t="s">
        <v>231</v>
      </c>
    </row>
    <row r="14" spans="1:6">
      <c r="A14" s="4">
        <v>46119</v>
      </c>
      <c r="B14" s="3" t="s">
        <v>222</v>
      </c>
      <c r="C14" s="3" t="s">
        <v>9</v>
      </c>
      <c r="D14" s="3">
        <v>7</v>
      </c>
      <c r="E14" s="21">
        <v>539635.35</v>
      </c>
      <c r="F14" s="3" t="s">
        <v>231</v>
      </c>
    </row>
    <row r="15" spans="1:6">
      <c r="A15" s="4">
        <v>46098</v>
      </c>
      <c r="B15" s="3" t="s">
        <v>223</v>
      </c>
      <c r="C15" s="3" t="s">
        <v>9</v>
      </c>
      <c r="D15" s="3">
        <v>6</v>
      </c>
      <c r="E15" s="21">
        <v>272547.03000000003</v>
      </c>
      <c r="F15" s="3" t="s">
        <v>232</v>
      </c>
    </row>
    <row r="16" spans="1:6">
      <c r="A16" s="4">
        <v>46081</v>
      </c>
      <c r="B16" s="3" t="s">
        <v>223</v>
      </c>
      <c r="C16" s="3" t="s">
        <v>6</v>
      </c>
      <c r="D16" s="3">
        <v>2</v>
      </c>
      <c r="E16" s="21">
        <v>41780.07</v>
      </c>
      <c r="F16" s="3" t="s">
        <v>234</v>
      </c>
    </row>
    <row r="17" spans="1:6">
      <c r="A17" s="4">
        <v>46131</v>
      </c>
      <c r="B17" s="3" t="s">
        <v>224</v>
      </c>
      <c r="C17" s="3" t="s">
        <v>9</v>
      </c>
      <c r="D17" s="3">
        <v>4</v>
      </c>
      <c r="E17" s="21">
        <v>59039.02</v>
      </c>
      <c r="F17" s="3" t="s">
        <v>232</v>
      </c>
    </row>
    <row r="18" spans="1:6">
      <c r="A18" s="4">
        <v>46063</v>
      </c>
      <c r="B18" s="3" t="s">
        <v>223</v>
      </c>
      <c r="C18" s="3" t="s">
        <v>6</v>
      </c>
      <c r="D18" s="3">
        <v>9</v>
      </c>
      <c r="E18" s="21">
        <v>32662.47</v>
      </c>
      <c r="F18" s="3" t="s">
        <v>230</v>
      </c>
    </row>
    <row r="19" spans="1:6">
      <c r="A19" s="4">
        <v>46045</v>
      </c>
      <c r="B19" s="3" t="s">
        <v>224</v>
      </c>
      <c r="C19" s="3" t="s">
        <v>6</v>
      </c>
      <c r="D19" s="3">
        <v>7</v>
      </c>
      <c r="E19" s="21">
        <v>5037.42</v>
      </c>
      <c r="F19" s="3" t="s">
        <v>230</v>
      </c>
    </row>
    <row r="20" spans="1:6">
      <c r="A20" s="4">
        <v>46134</v>
      </c>
      <c r="B20" s="3" t="s">
        <v>226</v>
      </c>
      <c r="C20" s="3" t="s">
        <v>8</v>
      </c>
      <c r="D20" s="3">
        <v>5</v>
      </c>
      <c r="E20" s="21">
        <v>205489.41</v>
      </c>
      <c r="F20" s="3" t="s">
        <v>229</v>
      </c>
    </row>
    <row r="21" spans="1:6">
      <c r="A21" s="4">
        <v>46104</v>
      </c>
      <c r="B21" s="3" t="s">
        <v>225</v>
      </c>
      <c r="C21" s="3" t="s">
        <v>11</v>
      </c>
      <c r="D21" s="3">
        <v>8</v>
      </c>
      <c r="E21" s="21">
        <v>196075.87</v>
      </c>
      <c r="F21" s="3" t="s">
        <v>228</v>
      </c>
    </row>
    <row r="22" spans="1:6">
      <c r="A22" s="4">
        <v>46158</v>
      </c>
      <c r="B22" s="3" t="s">
        <v>226</v>
      </c>
      <c r="C22" s="3" t="s">
        <v>8</v>
      </c>
      <c r="D22" s="3">
        <v>7</v>
      </c>
      <c r="E22" s="21">
        <v>41630.6</v>
      </c>
      <c r="F22" s="3" t="s">
        <v>234</v>
      </c>
    </row>
    <row r="23" spans="1:6">
      <c r="A23" s="4">
        <v>46146</v>
      </c>
      <c r="B23" s="3" t="s">
        <v>226</v>
      </c>
      <c r="C23" s="3" t="s">
        <v>6</v>
      </c>
      <c r="D23" s="3">
        <v>6</v>
      </c>
      <c r="E23" s="21">
        <v>226073.58</v>
      </c>
      <c r="F23" s="3" t="s">
        <v>229</v>
      </c>
    </row>
    <row r="24" spans="1:6">
      <c r="A24" s="4">
        <v>46067</v>
      </c>
      <c r="B24" s="3" t="s">
        <v>222</v>
      </c>
      <c r="C24" s="2" t="s">
        <v>12</v>
      </c>
      <c r="D24" s="3">
        <v>5</v>
      </c>
      <c r="E24" s="21">
        <v>539024.19999999995</v>
      </c>
      <c r="F24" s="3" t="s">
        <v>233</v>
      </c>
    </row>
    <row r="25" spans="1:6">
      <c r="A25" s="4">
        <v>46082</v>
      </c>
      <c r="B25" s="3" t="s">
        <v>224</v>
      </c>
      <c r="C25" s="3" t="s">
        <v>8</v>
      </c>
      <c r="D25" s="3">
        <v>6</v>
      </c>
      <c r="E25" s="21">
        <v>460309.22</v>
      </c>
      <c r="F25" s="3" t="s">
        <v>234</v>
      </c>
    </row>
    <row r="26" spans="1:6">
      <c r="A26" s="4">
        <v>46096</v>
      </c>
      <c r="B26" s="3" t="s">
        <v>226</v>
      </c>
      <c r="C26" s="3" t="s">
        <v>13</v>
      </c>
      <c r="D26" s="3">
        <v>8</v>
      </c>
      <c r="E26" s="21">
        <v>1351032.73</v>
      </c>
      <c r="F26" s="3" t="s">
        <v>231</v>
      </c>
    </row>
    <row r="27" spans="1:6">
      <c r="A27" s="4">
        <v>46032</v>
      </c>
      <c r="B27" s="3" t="s">
        <v>226</v>
      </c>
      <c r="C27" s="3" t="s">
        <v>6</v>
      </c>
      <c r="D27" s="3">
        <v>9</v>
      </c>
      <c r="E27" s="21">
        <v>125421.43</v>
      </c>
      <c r="F27" s="3" t="s">
        <v>227</v>
      </c>
    </row>
    <row r="28" spans="1:6">
      <c r="A28" s="4">
        <v>46044</v>
      </c>
      <c r="B28" s="3" t="s">
        <v>223</v>
      </c>
      <c r="C28" s="3" t="s">
        <v>8</v>
      </c>
      <c r="D28" s="3">
        <v>1</v>
      </c>
      <c r="E28" s="21">
        <v>65421.13</v>
      </c>
      <c r="F28" s="3" t="s">
        <v>234</v>
      </c>
    </row>
    <row r="29" spans="1:6">
      <c r="A29" s="4">
        <v>46159</v>
      </c>
      <c r="B29" s="3" t="s">
        <v>226</v>
      </c>
      <c r="C29" s="3" t="s">
        <v>6</v>
      </c>
      <c r="D29" s="3">
        <v>2</v>
      </c>
      <c r="E29" s="21">
        <v>896270.12</v>
      </c>
      <c r="F29" s="3" t="s">
        <v>233</v>
      </c>
    </row>
    <row r="30" spans="1:6">
      <c r="A30" s="4">
        <v>46139</v>
      </c>
      <c r="B30" s="3" t="s">
        <v>225</v>
      </c>
      <c r="C30" s="3" t="s">
        <v>9</v>
      </c>
      <c r="D30" s="3">
        <v>2</v>
      </c>
      <c r="E30" s="21">
        <v>88922.67</v>
      </c>
      <c r="F30" s="3" t="s">
        <v>229</v>
      </c>
    </row>
    <row r="31" spans="1:6">
      <c r="A31" s="4">
        <v>46092</v>
      </c>
      <c r="B31" s="3" t="s">
        <v>223</v>
      </c>
      <c r="C31" s="3" t="s">
        <v>13</v>
      </c>
      <c r="D31" s="3">
        <v>1</v>
      </c>
      <c r="E31" s="21">
        <v>39988.51</v>
      </c>
      <c r="F31" s="3" t="s">
        <v>227</v>
      </c>
    </row>
    <row r="32" spans="1:6">
      <c r="A32" s="4">
        <v>46091</v>
      </c>
      <c r="B32" s="3" t="s">
        <v>222</v>
      </c>
      <c r="C32" s="3" t="s">
        <v>6</v>
      </c>
      <c r="D32" s="3">
        <v>6</v>
      </c>
      <c r="E32" s="21">
        <v>63709.55</v>
      </c>
      <c r="F32" s="3" t="s">
        <v>227</v>
      </c>
    </row>
    <row r="33" spans="1:6">
      <c r="A33" s="4">
        <v>46094</v>
      </c>
      <c r="B33" s="3" t="s">
        <v>223</v>
      </c>
      <c r="C33" s="2" t="s">
        <v>12</v>
      </c>
      <c r="D33" s="3">
        <v>6</v>
      </c>
      <c r="E33" s="21">
        <v>108568.7</v>
      </c>
      <c r="F33" s="3" t="s">
        <v>230</v>
      </c>
    </row>
    <row r="34" spans="1:6">
      <c r="A34" s="4">
        <v>46104</v>
      </c>
      <c r="B34" s="3" t="s">
        <v>225</v>
      </c>
      <c r="C34" s="3" t="s">
        <v>6</v>
      </c>
      <c r="D34" s="3">
        <v>1</v>
      </c>
      <c r="E34" s="21">
        <v>277061.43</v>
      </c>
      <c r="F34" s="3" t="s">
        <v>230</v>
      </c>
    </row>
    <row r="35" spans="1:6">
      <c r="A35" s="4">
        <v>46034</v>
      </c>
      <c r="B35" s="3" t="s">
        <v>223</v>
      </c>
      <c r="C35" s="3" t="s">
        <v>13</v>
      </c>
      <c r="D35" s="3">
        <v>3</v>
      </c>
      <c r="E35" s="21">
        <v>75454.240000000005</v>
      </c>
      <c r="F35" s="3" t="s">
        <v>228</v>
      </c>
    </row>
    <row r="36" spans="1:6">
      <c r="A36" s="4">
        <v>46104</v>
      </c>
      <c r="B36" s="3" t="s">
        <v>226</v>
      </c>
      <c r="C36" s="3" t="s">
        <v>9</v>
      </c>
      <c r="D36" s="3">
        <v>3</v>
      </c>
      <c r="E36" s="21">
        <v>63709.55</v>
      </c>
      <c r="F36" s="3" t="s">
        <v>229</v>
      </c>
    </row>
    <row r="37" spans="1:6">
      <c r="A37" s="4">
        <v>46028</v>
      </c>
      <c r="B37" s="3" t="s">
        <v>225</v>
      </c>
      <c r="C37" s="2" t="s">
        <v>12</v>
      </c>
      <c r="D37" s="3">
        <v>5</v>
      </c>
      <c r="E37" s="21">
        <v>202676.14</v>
      </c>
      <c r="F37" s="3" t="s">
        <v>234</v>
      </c>
    </row>
    <row r="38" spans="1:6">
      <c r="A38" s="4">
        <v>46112</v>
      </c>
      <c r="B38" s="3" t="s">
        <v>224</v>
      </c>
      <c r="C38" s="3" t="s">
        <v>14</v>
      </c>
      <c r="D38" s="3">
        <v>4</v>
      </c>
      <c r="E38" s="21">
        <v>217258.86</v>
      </c>
      <c r="F38" s="3" t="s">
        <v>233</v>
      </c>
    </row>
    <row r="39" spans="1:6">
      <c r="A39" s="4">
        <v>46147</v>
      </c>
      <c r="B39" s="3" t="s">
        <v>223</v>
      </c>
      <c r="C39" s="3" t="s">
        <v>9</v>
      </c>
      <c r="D39" s="3">
        <v>6</v>
      </c>
      <c r="E39" s="21">
        <v>78824.210000000006</v>
      </c>
      <c r="F39" s="3" t="s">
        <v>231</v>
      </c>
    </row>
    <row r="40" spans="1:6">
      <c r="A40" s="4">
        <v>46108</v>
      </c>
      <c r="B40" s="3" t="s">
        <v>222</v>
      </c>
      <c r="C40" s="3" t="s">
        <v>8</v>
      </c>
      <c r="D40" s="3">
        <v>9</v>
      </c>
      <c r="E40" s="21">
        <v>169683.82</v>
      </c>
      <c r="F40" s="3" t="s">
        <v>228</v>
      </c>
    </row>
    <row r="41" spans="1:6">
      <c r="A41" s="4">
        <v>46068</v>
      </c>
      <c r="B41" s="3" t="s">
        <v>226</v>
      </c>
      <c r="C41" s="3" t="s">
        <v>11</v>
      </c>
      <c r="D41" s="3">
        <v>3</v>
      </c>
      <c r="E41" s="21">
        <v>177758.56</v>
      </c>
      <c r="F41" s="3" t="s">
        <v>234</v>
      </c>
    </row>
    <row r="42" spans="1:6">
      <c r="A42" s="4">
        <v>46168</v>
      </c>
      <c r="B42" s="3" t="s">
        <v>222</v>
      </c>
      <c r="C42" s="2" t="s">
        <v>12</v>
      </c>
      <c r="D42" s="3">
        <v>7</v>
      </c>
      <c r="E42" s="21">
        <v>40526.25</v>
      </c>
      <c r="F42" s="3" t="s">
        <v>228</v>
      </c>
    </row>
    <row r="43" spans="1:6">
      <c r="A43" s="4">
        <v>46134</v>
      </c>
      <c r="B43" s="3" t="s">
        <v>226</v>
      </c>
      <c r="C43" s="3" t="s">
        <v>9</v>
      </c>
      <c r="D43" s="3">
        <v>7</v>
      </c>
      <c r="E43" s="21">
        <v>88111.57</v>
      </c>
      <c r="F43" s="3" t="s">
        <v>227</v>
      </c>
    </row>
    <row r="44" spans="1:6">
      <c r="A44" s="4">
        <v>46122</v>
      </c>
      <c r="B44" s="3" t="s">
        <v>226</v>
      </c>
      <c r="C44" s="3" t="s">
        <v>9</v>
      </c>
      <c r="D44" s="3">
        <v>5</v>
      </c>
      <c r="E44" s="21">
        <v>59470.04</v>
      </c>
      <c r="F44" s="3" t="s">
        <v>232</v>
      </c>
    </row>
    <row r="45" spans="1:6">
      <c r="A45" s="4">
        <v>46055</v>
      </c>
      <c r="B45" s="3" t="s">
        <v>222</v>
      </c>
      <c r="C45" s="3" t="s">
        <v>13</v>
      </c>
      <c r="D45" s="3">
        <v>3</v>
      </c>
      <c r="E45" s="21">
        <v>54513.89</v>
      </c>
      <c r="F45" s="3" t="s">
        <v>227</v>
      </c>
    </row>
    <row r="46" spans="1:6">
      <c r="A46" s="4">
        <v>46172</v>
      </c>
      <c r="B46" s="3" t="s">
        <v>226</v>
      </c>
      <c r="C46" s="3" t="s">
        <v>11</v>
      </c>
      <c r="D46" s="3">
        <v>5</v>
      </c>
      <c r="E46" s="21">
        <v>550404.75</v>
      </c>
      <c r="F46" s="3" t="s">
        <v>234</v>
      </c>
    </row>
    <row r="47" spans="1:6">
      <c r="A47" s="4">
        <v>46154</v>
      </c>
      <c r="B47" s="3" t="s">
        <v>225</v>
      </c>
      <c r="C47" s="3" t="s">
        <v>9</v>
      </c>
      <c r="D47" s="3">
        <v>4</v>
      </c>
      <c r="E47" s="21">
        <v>56886.65</v>
      </c>
      <c r="F47" s="3" t="s">
        <v>232</v>
      </c>
    </row>
    <row r="48" spans="1:6">
      <c r="A48" s="4">
        <v>46139</v>
      </c>
      <c r="B48" s="3" t="s">
        <v>224</v>
      </c>
      <c r="C48" s="3" t="s">
        <v>7</v>
      </c>
      <c r="D48" s="3">
        <v>7</v>
      </c>
      <c r="E48" s="21">
        <v>29587.59</v>
      </c>
      <c r="F48" s="3" t="s">
        <v>233</v>
      </c>
    </row>
    <row r="49" spans="1:6">
      <c r="A49" s="4">
        <v>46124</v>
      </c>
      <c r="B49" s="3" t="s">
        <v>225</v>
      </c>
      <c r="C49" s="3" t="s">
        <v>6</v>
      </c>
      <c r="D49" s="3">
        <v>5</v>
      </c>
      <c r="E49" s="21">
        <v>82122.429999999993</v>
      </c>
      <c r="F49" s="3" t="s">
        <v>227</v>
      </c>
    </row>
    <row r="50" spans="1:6">
      <c r="A50" s="4">
        <v>46050</v>
      </c>
      <c r="B50" s="3" t="s">
        <v>226</v>
      </c>
      <c r="C50" s="3" t="s">
        <v>6</v>
      </c>
      <c r="D50" s="3">
        <v>5</v>
      </c>
      <c r="E50" s="21">
        <v>18517.009999999998</v>
      </c>
      <c r="F50" s="3" t="s">
        <v>233</v>
      </c>
    </row>
    <row r="51" spans="1:6">
      <c r="A51" s="4">
        <v>46142</v>
      </c>
      <c r="B51" s="3" t="s">
        <v>226</v>
      </c>
      <c r="C51" s="3" t="s">
        <v>6</v>
      </c>
      <c r="D51" s="3">
        <v>1</v>
      </c>
      <c r="E51" s="21">
        <v>146317.10999999999</v>
      </c>
      <c r="F51" s="3" t="s">
        <v>231</v>
      </c>
    </row>
    <row r="52" spans="1:6">
      <c r="A52" s="4">
        <v>46065</v>
      </c>
      <c r="B52" s="3" t="s">
        <v>226</v>
      </c>
      <c r="C52" s="2" t="s">
        <v>12</v>
      </c>
      <c r="D52" s="3">
        <v>2</v>
      </c>
      <c r="E52" s="21">
        <v>93359.26</v>
      </c>
      <c r="F52" s="3" t="s">
        <v>233</v>
      </c>
    </row>
    <row r="53" spans="1:6">
      <c r="A53" s="4">
        <v>46137</v>
      </c>
      <c r="B53" s="3" t="s">
        <v>224</v>
      </c>
      <c r="C53" s="3" t="s">
        <v>8</v>
      </c>
      <c r="D53" s="3">
        <v>9</v>
      </c>
      <c r="E53" s="21">
        <v>314743.37</v>
      </c>
      <c r="F53" s="3" t="s">
        <v>234</v>
      </c>
    </row>
    <row r="54" spans="1:6">
      <c r="A54" s="4">
        <v>46143</v>
      </c>
      <c r="B54" s="3" t="s">
        <v>223</v>
      </c>
      <c r="C54" s="3" t="s">
        <v>8</v>
      </c>
      <c r="D54" s="3">
        <v>4</v>
      </c>
      <c r="E54" s="21">
        <v>1452715.74</v>
      </c>
      <c r="F54" s="3" t="s">
        <v>231</v>
      </c>
    </row>
    <row r="55" spans="1:6">
      <c r="A55" s="4">
        <v>46111</v>
      </c>
      <c r="B55" s="3" t="s">
        <v>225</v>
      </c>
      <c r="C55" s="3" t="s">
        <v>9</v>
      </c>
      <c r="D55" s="3">
        <v>7</v>
      </c>
      <c r="E55" s="21">
        <v>488009.53</v>
      </c>
      <c r="F55" s="3" t="s">
        <v>233</v>
      </c>
    </row>
    <row r="56" spans="1:6">
      <c r="A56" s="4">
        <v>46144</v>
      </c>
      <c r="B56" s="3" t="s">
        <v>222</v>
      </c>
      <c r="C56" s="3" t="s">
        <v>15</v>
      </c>
      <c r="D56" s="3">
        <v>4</v>
      </c>
      <c r="E56" s="21">
        <v>34007.99</v>
      </c>
      <c r="F56" s="3" t="s">
        <v>229</v>
      </c>
    </row>
    <row r="57" spans="1:6">
      <c r="A57" s="4">
        <v>46091</v>
      </c>
      <c r="B57" s="3" t="s">
        <v>223</v>
      </c>
      <c r="C57" s="3" t="s">
        <v>15</v>
      </c>
      <c r="D57" s="3">
        <v>3</v>
      </c>
      <c r="E57" s="21">
        <v>12621.36</v>
      </c>
      <c r="F57" s="3" t="s">
        <v>233</v>
      </c>
    </row>
    <row r="58" spans="1:6">
      <c r="A58" s="4">
        <v>46128</v>
      </c>
      <c r="B58" s="3" t="s">
        <v>226</v>
      </c>
      <c r="C58" s="3" t="s">
        <v>15</v>
      </c>
      <c r="D58" s="3">
        <v>5</v>
      </c>
      <c r="E58" s="21">
        <v>12621.36</v>
      </c>
      <c r="F58" s="3" t="s">
        <v>229</v>
      </c>
    </row>
    <row r="59" spans="1:6">
      <c r="A59" s="4">
        <v>46068</v>
      </c>
      <c r="B59" s="3" t="s">
        <v>224</v>
      </c>
      <c r="C59" s="3" t="s">
        <v>13</v>
      </c>
      <c r="D59" s="3">
        <v>10</v>
      </c>
      <c r="E59" s="21">
        <v>12621.36</v>
      </c>
      <c r="F59" s="3" t="s">
        <v>228</v>
      </c>
    </row>
    <row r="60" spans="1:6">
      <c r="A60" s="4">
        <v>46035</v>
      </c>
      <c r="B60" s="3" t="s">
        <v>225</v>
      </c>
      <c r="C60" s="3" t="s">
        <v>6</v>
      </c>
      <c r="D60" s="3">
        <v>10</v>
      </c>
      <c r="E60" s="21">
        <v>57759.73</v>
      </c>
      <c r="F60" s="3" t="s">
        <v>234</v>
      </c>
    </row>
    <row r="61" spans="1:6">
      <c r="A61" s="4">
        <v>46103</v>
      </c>
      <c r="B61" s="3" t="s">
        <v>226</v>
      </c>
      <c r="C61" s="3" t="s">
        <v>11</v>
      </c>
      <c r="D61" s="3">
        <v>4</v>
      </c>
      <c r="E61" s="21">
        <v>13821.91</v>
      </c>
      <c r="F61" s="3" t="s">
        <v>233</v>
      </c>
    </row>
    <row r="62" spans="1:6">
      <c r="A62" s="4">
        <v>46158</v>
      </c>
      <c r="B62" s="3" t="s">
        <v>222</v>
      </c>
      <c r="C62" s="3" t="s">
        <v>9</v>
      </c>
      <c r="D62" s="3">
        <v>8</v>
      </c>
      <c r="E62" s="21">
        <v>35642.71</v>
      </c>
      <c r="F62" s="3" t="s">
        <v>232</v>
      </c>
    </row>
    <row r="63" spans="1:6">
      <c r="A63" s="4">
        <v>46108</v>
      </c>
      <c r="B63" s="3" t="s">
        <v>226</v>
      </c>
      <c r="C63" s="3" t="s">
        <v>6</v>
      </c>
      <c r="D63" s="3">
        <v>9</v>
      </c>
      <c r="E63" s="21">
        <v>52120.01</v>
      </c>
      <c r="F63" s="3" t="s">
        <v>227</v>
      </c>
    </row>
    <row r="64" spans="1:6">
      <c r="A64" s="4">
        <v>46152</v>
      </c>
      <c r="B64" s="3" t="s">
        <v>223</v>
      </c>
      <c r="C64" s="3" t="s">
        <v>7</v>
      </c>
      <c r="D64" s="3">
        <v>7</v>
      </c>
      <c r="E64" s="21">
        <v>32682.11</v>
      </c>
      <c r="F64" s="3" t="s">
        <v>230</v>
      </c>
    </row>
    <row r="65" spans="1:6">
      <c r="A65" s="4">
        <v>46053</v>
      </c>
      <c r="B65" s="3" t="s">
        <v>223</v>
      </c>
      <c r="C65" s="3" t="s">
        <v>11</v>
      </c>
      <c r="D65" s="3">
        <v>5</v>
      </c>
      <c r="E65" s="21">
        <v>101762.14</v>
      </c>
      <c r="F65" s="3" t="s">
        <v>234</v>
      </c>
    </row>
    <row r="66" spans="1:6">
      <c r="A66" s="4">
        <v>46139</v>
      </c>
      <c r="B66" s="3" t="s">
        <v>225</v>
      </c>
      <c r="C66" s="3" t="s">
        <v>11</v>
      </c>
      <c r="D66" s="3">
        <v>8</v>
      </c>
      <c r="E66" s="21">
        <v>16199.47</v>
      </c>
      <c r="F66" s="3" t="s">
        <v>228</v>
      </c>
    </row>
    <row r="67" spans="1:6">
      <c r="A67" s="4">
        <v>46167</v>
      </c>
      <c r="B67" s="3" t="s">
        <v>226</v>
      </c>
      <c r="C67" s="3" t="s">
        <v>6</v>
      </c>
      <c r="D67" s="3">
        <v>5</v>
      </c>
      <c r="E67" s="21">
        <v>29927.54</v>
      </c>
      <c r="F67" s="3" t="s">
        <v>231</v>
      </c>
    </row>
    <row r="68" spans="1:6">
      <c r="A68" s="4">
        <v>46082</v>
      </c>
      <c r="B68" s="3" t="s">
        <v>226</v>
      </c>
      <c r="C68" s="3" t="s">
        <v>13</v>
      </c>
      <c r="D68" s="3">
        <v>1</v>
      </c>
      <c r="E68" s="21">
        <v>62205.67</v>
      </c>
      <c r="F68" s="3" t="s">
        <v>234</v>
      </c>
    </row>
    <row r="69" spans="1:6">
      <c r="A69" s="4">
        <v>46149</v>
      </c>
      <c r="B69" s="3" t="s">
        <v>223</v>
      </c>
      <c r="C69" s="3" t="s">
        <v>9</v>
      </c>
      <c r="D69" s="3">
        <v>1</v>
      </c>
      <c r="E69" s="21">
        <v>222185</v>
      </c>
      <c r="F69" s="3" t="s">
        <v>228</v>
      </c>
    </row>
    <row r="70" spans="1:6">
      <c r="A70" s="4">
        <v>46109</v>
      </c>
      <c r="B70" s="3" t="s">
        <v>222</v>
      </c>
      <c r="C70" s="3" t="s">
        <v>6</v>
      </c>
      <c r="D70" s="3">
        <v>10</v>
      </c>
      <c r="E70" s="21">
        <v>34924.449999999997</v>
      </c>
      <c r="F70" s="3" t="s">
        <v>227</v>
      </c>
    </row>
    <row r="71" spans="1:6">
      <c r="A71" s="4">
        <v>46081</v>
      </c>
      <c r="B71" s="3" t="s">
        <v>224</v>
      </c>
      <c r="C71" s="3" t="s">
        <v>6</v>
      </c>
      <c r="D71" s="3">
        <v>10</v>
      </c>
      <c r="E71" s="21">
        <v>75209.429999999993</v>
      </c>
      <c r="F71" s="3" t="s">
        <v>228</v>
      </c>
    </row>
    <row r="72" spans="1:6">
      <c r="A72" s="4">
        <v>46164</v>
      </c>
      <c r="B72" s="3" t="s">
        <v>223</v>
      </c>
      <c r="C72" s="3" t="s">
        <v>7</v>
      </c>
      <c r="D72" s="3">
        <v>7</v>
      </c>
      <c r="E72" s="21">
        <v>78394.61</v>
      </c>
      <c r="F72" s="3" t="s">
        <v>229</v>
      </c>
    </row>
    <row r="73" spans="1:6">
      <c r="A73" s="4">
        <v>46153</v>
      </c>
      <c r="B73" s="3" t="s">
        <v>226</v>
      </c>
      <c r="C73" s="3" t="s">
        <v>6</v>
      </c>
      <c r="D73" s="3">
        <v>10</v>
      </c>
      <c r="E73" s="21">
        <v>170896.18</v>
      </c>
      <c r="F73" s="3" t="s">
        <v>229</v>
      </c>
    </row>
    <row r="74" spans="1:6">
      <c r="A74" s="4">
        <v>46059</v>
      </c>
      <c r="B74" s="3" t="s">
        <v>223</v>
      </c>
      <c r="C74" s="3" t="s">
        <v>8</v>
      </c>
      <c r="D74" s="3">
        <v>4</v>
      </c>
      <c r="E74" s="21">
        <v>79118.38</v>
      </c>
      <c r="F74" s="3" t="s">
        <v>233</v>
      </c>
    </row>
    <row r="75" spans="1:6">
      <c r="A75" s="4">
        <v>46031</v>
      </c>
      <c r="B75" s="3" t="s">
        <v>224</v>
      </c>
      <c r="C75" s="3" t="s">
        <v>9</v>
      </c>
      <c r="D75" s="3">
        <v>6</v>
      </c>
      <c r="E75" s="21">
        <v>450348.25</v>
      </c>
      <c r="F75" s="3" t="s">
        <v>227</v>
      </c>
    </row>
    <row r="76" spans="1:6">
      <c r="A76" s="4">
        <v>46102</v>
      </c>
      <c r="B76" s="3" t="s">
        <v>225</v>
      </c>
      <c r="C76" s="3" t="s">
        <v>8</v>
      </c>
      <c r="D76" s="3">
        <v>7</v>
      </c>
      <c r="E76" s="21">
        <v>50459.23</v>
      </c>
      <c r="F76" s="3" t="s">
        <v>228</v>
      </c>
    </row>
    <row r="77" spans="1:6">
      <c r="A77" s="4">
        <v>46081</v>
      </c>
      <c r="B77" s="3" t="s">
        <v>226</v>
      </c>
      <c r="C77" s="3" t="s">
        <v>8</v>
      </c>
      <c r="D77" s="3">
        <v>10</v>
      </c>
      <c r="E77" s="21">
        <v>826819.55</v>
      </c>
      <c r="F77" s="3" t="s">
        <v>227</v>
      </c>
    </row>
    <row r="78" spans="1:6">
      <c r="A78" s="4">
        <v>46095</v>
      </c>
      <c r="B78" s="3" t="s">
        <v>224</v>
      </c>
      <c r="C78" s="3" t="s">
        <v>8</v>
      </c>
      <c r="D78" s="3">
        <v>5</v>
      </c>
      <c r="E78" s="21">
        <v>326866.8</v>
      </c>
      <c r="F78" s="3" t="s">
        <v>231</v>
      </c>
    </row>
    <row r="79" spans="1:6">
      <c r="A79" s="4">
        <v>46084</v>
      </c>
      <c r="B79" s="3" t="s">
        <v>225</v>
      </c>
      <c r="C79" s="3" t="s">
        <v>9</v>
      </c>
      <c r="D79" s="3">
        <v>4</v>
      </c>
      <c r="E79" s="21">
        <v>40037.120000000003</v>
      </c>
      <c r="F79" s="3" t="s">
        <v>228</v>
      </c>
    </row>
    <row r="80" spans="1:6">
      <c r="A80" s="4">
        <v>46114</v>
      </c>
      <c r="B80" s="3" t="s">
        <v>223</v>
      </c>
      <c r="C80" s="3" t="s">
        <v>13</v>
      </c>
      <c r="D80" s="3">
        <v>3</v>
      </c>
      <c r="E80" s="21">
        <v>173551.86</v>
      </c>
      <c r="F80" s="3" t="s">
        <v>231</v>
      </c>
    </row>
    <row r="81" spans="1:6">
      <c r="A81" s="4">
        <v>46082</v>
      </c>
      <c r="B81" s="3" t="s">
        <v>222</v>
      </c>
      <c r="C81" s="2" t="s">
        <v>12</v>
      </c>
      <c r="D81" s="3">
        <v>6</v>
      </c>
      <c r="E81" s="21">
        <v>86769.54</v>
      </c>
      <c r="F81" s="3" t="s">
        <v>231</v>
      </c>
    </row>
    <row r="82" spans="1:6">
      <c r="A82" s="4">
        <v>46114</v>
      </c>
      <c r="B82" s="3" t="s">
        <v>226</v>
      </c>
      <c r="C82" s="3" t="s">
        <v>6</v>
      </c>
      <c r="D82" s="3">
        <v>6</v>
      </c>
      <c r="E82" s="21">
        <v>108209.62</v>
      </c>
      <c r="F82" s="3" t="s">
        <v>234</v>
      </c>
    </row>
    <row r="83" spans="1:6">
      <c r="A83" s="4">
        <v>46068</v>
      </c>
      <c r="B83" s="3" t="s">
        <v>225</v>
      </c>
      <c r="C83" s="3" t="s">
        <v>8</v>
      </c>
      <c r="D83" s="3">
        <v>1</v>
      </c>
      <c r="E83" s="21">
        <v>55134.21</v>
      </c>
      <c r="F83" s="3" t="s">
        <v>233</v>
      </c>
    </row>
    <row r="84" spans="1:6">
      <c r="A84" s="4">
        <v>46085</v>
      </c>
      <c r="B84" s="3" t="s">
        <v>224</v>
      </c>
      <c r="C84" s="3" t="s">
        <v>13</v>
      </c>
      <c r="D84" s="3">
        <v>6</v>
      </c>
      <c r="E84" s="21">
        <v>121659.2</v>
      </c>
      <c r="F84" s="3" t="s">
        <v>230</v>
      </c>
    </row>
    <row r="85" spans="1:6">
      <c r="A85" s="4">
        <v>46162</v>
      </c>
      <c r="B85" s="3" t="s">
        <v>226</v>
      </c>
      <c r="C85" s="3" t="s">
        <v>9</v>
      </c>
      <c r="D85" s="3">
        <v>4</v>
      </c>
      <c r="E85" s="21">
        <v>137802.39000000001</v>
      </c>
      <c r="F85" s="3" t="s">
        <v>234</v>
      </c>
    </row>
    <row r="86" spans="1:6">
      <c r="A86" s="4">
        <v>46166</v>
      </c>
      <c r="B86" s="3" t="s">
        <v>222</v>
      </c>
      <c r="C86" s="3" t="s">
        <v>13</v>
      </c>
      <c r="D86" s="3">
        <v>1</v>
      </c>
      <c r="E86" s="21">
        <v>26108.07</v>
      </c>
      <c r="F86" s="3" t="s">
        <v>232</v>
      </c>
    </row>
    <row r="87" spans="1:6">
      <c r="A87" s="4">
        <v>46066</v>
      </c>
      <c r="B87" s="3" t="s">
        <v>224</v>
      </c>
      <c r="C87" s="3" t="s">
        <v>6</v>
      </c>
      <c r="D87" s="3">
        <v>4</v>
      </c>
      <c r="E87" s="21">
        <v>56316.19</v>
      </c>
      <c r="F87" s="3" t="s">
        <v>232</v>
      </c>
    </row>
    <row r="88" spans="1:6">
      <c r="A88" s="4">
        <v>46103</v>
      </c>
      <c r="B88" s="3" t="s">
        <v>223</v>
      </c>
      <c r="C88" s="2" t="s">
        <v>12</v>
      </c>
      <c r="D88" s="3">
        <v>5</v>
      </c>
      <c r="E88" s="21">
        <v>42627.199999999997</v>
      </c>
      <c r="F88" s="3" t="s">
        <v>232</v>
      </c>
    </row>
    <row r="89" spans="1:6">
      <c r="A89" s="4">
        <v>46042</v>
      </c>
      <c r="B89" s="3" t="s">
        <v>226</v>
      </c>
      <c r="C89" s="3" t="s">
        <v>6</v>
      </c>
      <c r="D89" s="3">
        <v>2</v>
      </c>
      <c r="E89" s="21">
        <v>120646.06</v>
      </c>
      <c r="F89" s="3" t="s">
        <v>229</v>
      </c>
    </row>
    <row r="90" spans="1:6">
      <c r="A90" s="4">
        <v>46080</v>
      </c>
      <c r="B90" s="3" t="s">
        <v>224</v>
      </c>
      <c r="C90" s="3" t="s">
        <v>7</v>
      </c>
      <c r="D90" s="3">
        <v>10</v>
      </c>
      <c r="E90" s="21">
        <v>112170.24000000001</v>
      </c>
      <c r="F90" s="3" t="s">
        <v>230</v>
      </c>
    </row>
    <row r="91" spans="1:6">
      <c r="A91" s="4">
        <v>46120</v>
      </c>
      <c r="B91" s="3" t="s">
        <v>222</v>
      </c>
      <c r="C91" s="3" t="s">
        <v>13</v>
      </c>
      <c r="D91" s="3">
        <v>6</v>
      </c>
      <c r="E91" s="21">
        <v>27669.63</v>
      </c>
      <c r="F91" s="3" t="s">
        <v>231</v>
      </c>
    </row>
    <row r="92" spans="1:6">
      <c r="A92" s="4">
        <v>46146</v>
      </c>
      <c r="B92" s="3" t="s">
        <v>222</v>
      </c>
      <c r="C92" s="3" t="s">
        <v>9</v>
      </c>
      <c r="D92" s="3">
        <v>1</v>
      </c>
      <c r="E92" s="21">
        <v>127879.78</v>
      </c>
      <c r="F92" s="3" t="s">
        <v>232</v>
      </c>
    </row>
    <row r="93" spans="1:6">
      <c r="A93" s="4">
        <v>46030</v>
      </c>
      <c r="B93" s="3" t="s">
        <v>222</v>
      </c>
      <c r="C93" s="3" t="s">
        <v>13</v>
      </c>
      <c r="D93" s="3">
        <v>4</v>
      </c>
      <c r="E93" s="21">
        <v>38524.629999999997</v>
      </c>
      <c r="F93" s="3" t="s">
        <v>228</v>
      </c>
    </row>
    <row r="94" spans="1:6">
      <c r="A94" s="4">
        <v>46080</v>
      </c>
      <c r="B94" s="3" t="s">
        <v>223</v>
      </c>
      <c r="C94" s="3" t="s">
        <v>6</v>
      </c>
      <c r="D94" s="3">
        <v>8</v>
      </c>
      <c r="E94" s="21">
        <v>94048.12</v>
      </c>
      <c r="F94" s="3" t="s">
        <v>234</v>
      </c>
    </row>
    <row r="95" spans="1:6">
      <c r="A95" s="4">
        <v>46128</v>
      </c>
      <c r="B95" s="3" t="s">
        <v>224</v>
      </c>
      <c r="C95" s="3" t="s">
        <v>6</v>
      </c>
      <c r="D95" s="3">
        <v>6</v>
      </c>
      <c r="E95" s="21">
        <v>36427.93</v>
      </c>
      <c r="F95" s="3" t="s">
        <v>232</v>
      </c>
    </row>
    <row r="96" spans="1:6">
      <c r="A96" s="4">
        <v>46101</v>
      </c>
      <c r="B96" s="3" t="s">
        <v>224</v>
      </c>
      <c r="C96" s="2" t="s">
        <v>12</v>
      </c>
      <c r="D96" s="3">
        <v>10</v>
      </c>
      <c r="E96" s="21">
        <v>19343.830000000002</v>
      </c>
      <c r="F96" s="3" t="s">
        <v>231</v>
      </c>
    </row>
    <row r="97" spans="1:6">
      <c r="A97" s="4">
        <v>46080</v>
      </c>
      <c r="B97" s="3" t="s">
        <v>223</v>
      </c>
      <c r="C97" s="3" t="s">
        <v>11</v>
      </c>
      <c r="D97" s="3">
        <v>5</v>
      </c>
      <c r="E97" s="21">
        <v>130608.31</v>
      </c>
      <c r="F97" s="3" t="s">
        <v>230</v>
      </c>
    </row>
    <row r="98" spans="1:6">
      <c r="A98" s="4">
        <v>46037</v>
      </c>
      <c r="B98" s="3" t="s">
        <v>222</v>
      </c>
      <c r="C98" s="3" t="s">
        <v>6</v>
      </c>
      <c r="D98" s="3">
        <v>4</v>
      </c>
      <c r="E98" s="21">
        <v>45056.29</v>
      </c>
      <c r="F98" s="3" t="s">
        <v>231</v>
      </c>
    </row>
    <row r="99" spans="1:6">
      <c r="A99" s="4">
        <v>46150</v>
      </c>
      <c r="B99" s="3" t="s">
        <v>224</v>
      </c>
      <c r="C99" s="3" t="s">
        <v>8</v>
      </c>
      <c r="D99" s="3">
        <v>10</v>
      </c>
      <c r="E99" s="21">
        <v>47154.720000000001</v>
      </c>
      <c r="F99" s="3" t="s">
        <v>232</v>
      </c>
    </row>
    <row r="100" spans="1:6">
      <c r="A100" s="4">
        <v>46053</v>
      </c>
      <c r="B100" s="3" t="s">
        <v>222</v>
      </c>
      <c r="C100" s="3" t="s">
        <v>8</v>
      </c>
      <c r="D100" s="3">
        <v>9</v>
      </c>
      <c r="E100" s="21">
        <v>463909.4</v>
      </c>
      <c r="F100" s="3" t="s">
        <v>234</v>
      </c>
    </row>
    <row r="101" spans="1:6">
      <c r="A101" s="4">
        <v>46078</v>
      </c>
      <c r="B101" s="3" t="s">
        <v>222</v>
      </c>
      <c r="C101" s="3" t="s">
        <v>8</v>
      </c>
      <c r="D101" s="3">
        <v>7</v>
      </c>
      <c r="E101" s="21">
        <v>304060.31</v>
      </c>
      <c r="F101" s="3" t="s">
        <v>234</v>
      </c>
    </row>
    <row r="102" spans="1:6">
      <c r="A102" s="4">
        <v>46162</v>
      </c>
      <c r="B102" s="3" t="s">
        <v>224</v>
      </c>
      <c r="C102" s="3" t="s">
        <v>8</v>
      </c>
      <c r="D102" s="3">
        <v>6</v>
      </c>
      <c r="E102" s="21">
        <v>808393.66</v>
      </c>
      <c r="F102" s="3" t="s">
        <v>232</v>
      </c>
    </row>
    <row r="103" spans="1:6">
      <c r="A103" s="4">
        <v>46170</v>
      </c>
      <c r="B103" s="3" t="s">
        <v>224</v>
      </c>
      <c r="C103" s="3" t="s">
        <v>16</v>
      </c>
      <c r="D103" s="3">
        <v>7</v>
      </c>
      <c r="E103" s="21">
        <v>383524.72</v>
      </c>
      <c r="F103" s="3" t="s">
        <v>229</v>
      </c>
    </row>
    <row r="104" spans="1:6">
      <c r="A104" s="4">
        <v>46052</v>
      </c>
      <c r="B104" s="3" t="s">
        <v>223</v>
      </c>
      <c r="C104" s="3" t="s">
        <v>9</v>
      </c>
      <c r="D104" s="3">
        <v>7</v>
      </c>
      <c r="E104" s="21">
        <v>149582.38</v>
      </c>
      <c r="F104" s="3" t="s">
        <v>230</v>
      </c>
    </row>
    <row r="105" spans="1:6">
      <c r="A105" s="4">
        <v>46126</v>
      </c>
      <c r="B105" s="3" t="s">
        <v>224</v>
      </c>
      <c r="C105" s="3" t="s">
        <v>6</v>
      </c>
      <c r="D105" s="3">
        <v>2</v>
      </c>
      <c r="E105" s="21">
        <v>32184.98</v>
      </c>
      <c r="F105" s="3" t="s">
        <v>231</v>
      </c>
    </row>
    <row r="106" spans="1:6">
      <c r="A106" s="4">
        <v>46120</v>
      </c>
      <c r="B106" s="3" t="s">
        <v>222</v>
      </c>
      <c r="C106" s="3" t="s">
        <v>6</v>
      </c>
      <c r="D106" s="3">
        <v>6</v>
      </c>
      <c r="E106" s="21">
        <v>74310.33</v>
      </c>
      <c r="F106" s="3" t="s">
        <v>229</v>
      </c>
    </row>
    <row r="107" spans="1:6">
      <c r="A107" s="4">
        <v>46141</v>
      </c>
      <c r="B107" s="3" t="s">
        <v>224</v>
      </c>
      <c r="C107" s="2" t="s">
        <v>12</v>
      </c>
      <c r="D107" s="3">
        <v>1</v>
      </c>
      <c r="E107" s="21">
        <v>57640.09</v>
      </c>
      <c r="F107" s="3" t="s">
        <v>232</v>
      </c>
    </row>
    <row r="108" spans="1:6">
      <c r="A108" s="4">
        <v>46147</v>
      </c>
      <c r="B108" s="3" t="s">
        <v>222</v>
      </c>
      <c r="C108" s="2" t="s">
        <v>12</v>
      </c>
      <c r="D108" s="3">
        <v>5</v>
      </c>
      <c r="E108" s="21">
        <v>371287.46</v>
      </c>
      <c r="F108" s="3" t="s">
        <v>233</v>
      </c>
    </row>
    <row r="109" spans="1:6">
      <c r="A109" s="4">
        <v>46141</v>
      </c>
      <c r="B109" s="3" t="s">
        <v>223</v>
      </c>
      <c r="C109" s="3" t="s">
        <v>9</v>
      </c>
      <c r="D109" s="3">
        <v>1</v>
      </c>
      <c r="E109" s="21">
        <v>51072.77</v>
      </c>
      <c r="F109" s="3" t="s">
        <v>231</v>
      </c>
    </row>
    <row r="110" spans="1:6">
      <c r="A110" s="4">
        <v>46125</v>
      </c>
      <c r="B110" s="3" t="s">
        <v>224</v>
      </c>
      <c r="C110" s="3" t="s">
        <v>9</v>
      </c>
      <c r="D110" s="3">
        <v>5</v>
      </c>
      <c r="E110" s="21">
        <v>20468.59</v>
      </c>
      <c r="F110" s="3" t="s">
        <v>232</v>
      </c>
    </row>
    <row r="111" spans="1:6">
      <c r="A111" s="4">
        <v>46141</v>
      </c>
      <c r="B111" s="3" t="s">
        <v>224</v>
      </c>
      <c r="C111" s="2" t="s">
        <v>12</v>
      </c>
      <c r="D111" s="3">
        <v>10</v>
      </c>
      <c r="E111" s="21">
        <v>45099.12</v>
      </c>
      <c r="F111" s="3" t="s">
        <v>229</v>
      </c>
    </row>
    <row r="112" spans="1:6">
      <c r="A112" s="4">
        <v>46030</v>
      </c>
      <c r="B112" s="3" t="s">
        <v>226</v>
      </c>
      <c r="C112" s="3" t="s">
        <v>9</v>
      </c>
      <c r="D112" s="3">
        <v>2</v>
      </c>
      <c r="E112" s="21">
        <v>150261.67000000001</v>
      </c>
      <c r="F112" s="3" t="s">
        <v>227</v>
      </c>
    </row>
    <row r="113" spans="1:6">
      <c r="A113" s="4">
        <v>46092</v>
      </c>
      <c r="B113" s="3" t="s">
        <v>226</v>
      </c>
      <c r="C113" s="3" t="s">
        <v>9</v>
      </c>
      <c r="D113" s="3">
        <v>4</v>
      </c>
      <c r="E113" s="21">
        <v>27123.84</v>
      </c>
      <c r="F113" s="3" t="s">
        <v>227</v>
      </c>
    </row>
    <row r="114" spans="1:6">
      <c r="A114" s="4">
        <v>46094</v>
      </c>
      <c r="B114" s="3" t="s">
        <v>222</v>
      </c>
      <c r="C114" s="3" t="s">
        <v>9</v>
      </c>
      <c r="D114" s="3">
        <v>2</v>
      </c>
      <c r="E114" s="21">
        <v>45099.12</v>
      </c>
      <c r="F114" s="3" t="s">
        <v>228</v>
      </c>
    </row>
    <row r="115" spans="1:6">
      <c r="A115" s="4">
        <v>46049</v>
      </c>
      <c r="B115" s="3" t="s">
        <v>226</v>
      </c>
      <c r="C115" s="3" t="s">
        <v>7</v>
      </c>
      <c r="D115" s="3">
        <v>10</v>
      </c>
      <c r="E115" s="21">
        <v>39516.69</v>
      </c>
      <c r="F115" s="3" t="s">
        <v>233</v>
      </c>
    </row>
    <row r="116" spans="1:6">
      <c r="A116" s="4">
        <v>46165</v>
      </c>
      <c r="B116" s="3" t="s">
        <v>223</v>
      </c>
      <c r="C116" s="2" t="s">
        <v>12</v>
      </c>
      <c r="D116" s="3">
        <v>2</v>
      </c>
      <c r="E116" s="21">
        <v>68881.990000000005</v>
      </c>
      <c r="F116" s="3" t="s">
        <v>233</v>
      </c>
    </row>
    <row r="117" spans="1:6">
      <c r="A117" s="4">
        <v>46107</v>
      </c>
      <c r="B117" s="3" t="s">
        <v>222</v>
      </c>
      <c r="C117" s="3" t="s">
        <v>8</v>
      </c>
      <c r="D117" s="3">
        <v>6</v>
      </c>
      <c r="E117" s="21">
        <v>472326.86</v>
      </c>
      <c r="F117" s="3" t="s">
        <v>227</v>
      </c>
    </row>
    <row r="118" spans="1:6">
      <c r="A118" s="4">
        <v>46144</v>
      </c>
      <c r="B118" s="3" t="s">
        <v>226</v>
      </c>
      <c r="C118" s="3" t="s">
        <v>6</v>
      </c>
      <c r="D118" s="3">
        <v>8</v>
      </c>
      <c r="E118" s="21">
        <v>142019.54</v>
      </c>
      <c r="F118" s="3" t="s">
        <v>230</v>
      </c>
    </row>
    <row r="119" spans="1:6">
      <c r="A119" s="4">
        <v>46129</v>
      </c>
      <c r="B119" s="3" t="s">
        <v>222</v>
      </c>
      <c r="C119" s="3" t="s">
        <v>8</v>
      </c>
      <c r="D119" s="3">
        <v>8</v>
      </c>
      <c r="E119" s="21">
        <v>47852.82</v>
      </c>
      <c r="F119" s="3" t="s">
        <v>227</v>
      </c>
    </row>
    <row r="120" spans="1:6">
      <c r="A120" s="4">
        <v>46123</v>
      </c>
      <c r="B120" s="3" t="s">
        <v>225</v>
      </c>
      <c r="C120" s="3" t="s">
        <v>6</v>
      </c>
      <c r="D120" s="3">
        <v>10</v>
      </c>
      <c r="E120" s="21">
        <v>524221.5</v>
      </c>
      <c r="F120" s="3" t="s">
        <v>234</v>
      </c>
    </row>
    <row r="121" spans="1:6">
      <c r="A121" s="4">
        <v>46167</v>
      </c>
      <c r="B121" s="3" t="s">
        <v>226</v>
      </c>
      <c r="C121" s="3" t="s">
        <v>8</v>
      </c>
      <c r="D121" s="3">
        <v>4</v>
      </c>
      <c r="E121" s="21">
        <v>54138.22</v>
      </c>
      <c r="F121" s="3" t="s">
        <v>227</v>
      </c>
    </row>
    <row r="122" spans="1:6">
      <c r="A122" s="4">
        <v>46049</v>
      </c>
      <c r="B122" s="3" t="s">
        <v>224</v>
      </c>
      <c r="C122" s="3" t="s">
        <v>7</v>
      </c>
      <c r="D122" s="3">
        <v>7</v>
      </c>
      <c r="E122" s="21">
        <v>1140573.8</v>
      </c>
      <c r="F122" s="3" t="s">
        <v>227</v>
      </c>
    </row>
    <row r="123" spans="1:6">
      <c r="A123" s="4">
        <v>46056</v>
      </c>
      <c r="B123" s="3" t="s">
        <v>222</v>
      </c>
      <c r="C123" s="3" t="s">
        <v>7</v>
      </c>
      <c r="D123" s="3">
        <v>6</v>
      </c>
      <c r="E123" s="21">
        <v>268707.58</v>
      </c>
      <c r="F123" s="3" t="s">
        <v>228</v>
      </c>
    </row>
    <row r="124" spans="1:6">
      <c r="A124" s="4">
        <v>46118</v>
      </c>
      <c r="B124" s="3" t="s">
        <v>225</v>
      </c>
      <c r="C124" s="2" t="s">
        <v>12</v>
      </c>
      <c r="D124" s="3">
        <v>6</v>
      </c>
      <c r="E124" s="21">
        <v>68881.990000000005</v>
      </c>
      <c r="F124" s="3" t="s">
        <v>232</v>
      </c>
    </row>
    <row r="125" spans="1:6">
      <c r="A125" s="4">
        <v>46069</v>
      </c>
      <c r="B125" s="3" t="s">
        <v>226</v>
      </c>
      <c r="C125" s="2" t="s">
        <v>12</v>
      </c>
      <c r="D125" s="3">
        <v>10</v>
      </c>
      <c r="E125" s="21">
        <v>181484.32</v>
      </c>
      <c r="F125" s="3" t="s">
        <v>229</v>
      </c>
    </row>
    <row r="126" spans="1:6">
      <c r="A126" s="4">
        <v>46104</v>
      </c>
      <c r="B126" s="3" t="s">
        <v>222</v>
      </c>
      <c r="C126" s="2" t="s">
        <v>12</v>
      </c>
      <c r="D126" s="3">
        <v>8</v>
      </c>
      <c r="E126" s="21">
        <v>270045.07</v>
      </c>
      <c r="F126" s="3" t="s">
        <v>230</v>
      </c>
    </row>
    <row r="127" spans="1:6">
      <c r="A127" s="4">
        <v>46025</v>
      </c>
      <c r="B127" s="3" t="s">
        <v>223</v>
      </c>
      <c r="C127" s="3" t="s">
        <v>9</v>
      </c>
      <c r="D127" s="3">
        <v>7</v>
      </c>
      <c r="E127" s="21">
        <v>181593.77</v>
      </c>
      <c r="F127" s="3" t="s">
        <v>229</v>
      </c>
    </row>
    <row r="128" spans="1:6">
      <c r="A128" s="4">
        <v>46109</v>
      </c>
      <c r="B128" s="3" t="s">
        <v>224</v>
      </c>
      <c r="C128" s="3" t="s">
        <v>16</v>
      </c>
      <c r="D128" s="3">
        <v>2</v>
      </c>
      <c r="E128" s="21">
        <v>27947.4</v>
      </c>
      <c r="F128" s="3" t="s">
        <v>231</v>
      </c>
    </row>
    <row r="129" spans="1:6">
      <c r="A129" s="4">
        <v>46171</v>
      </c>
      <c r="B129" s="3" t="s">
        <v>225</v>
      </c>
      <c r="C129" s="3" t="s">
        <v>8</v>
      </c>
      <c r="D129" s="3">
        <v>7</v>
      </c>
      <c r="E129" s="21">
        <v>48344.31</v>
      </c>
      <c r="F129" s="3" t="s">
        <v>232</v>
      </c>
    </row>
    <row r="130" spans="1:6">
      <c r="A130" s="4">
        <v>46049</v>
      </c>
      <c r="B130" s="3" t="s">
        <v>226</v>
      </c>
      <c r="C130" s="3" t="s">
        <v>11</v>
      </c>
      <c r="D130" s="3">
        <v>3</v>
      </c>
      <c r="E130" s="21">
        <v>294463.35999999999</v>
      </c>
      <c r="F130" s="3" t="s">
        <v>227</v>
      </c>
    </row>
    <row r="131" spans="1:6">
      <c r="A131" s="4">
        <v>46081</v>
      </c>
      <c r="B131" s="3" t="s">
        <v>223</v>
      </c>
      <c r="C131" s="3" t="s">
        <v>9</v>
      </c>
      <c r="D131" s="3">
        <v>7</v>
      </c>
      <c r="E131" s="21">
        <v>22285.03</v>
      </c>
      <c r="F131" s="3" t="s">
        <v>233</v>
      </c>
    </row>
    <row r="132" spans="1:6">
      <c r="A132" s="4">
        <v>46163</v>
      </c>
      <c r="B132" s="3" t="s">
        <v>225</v>
      </c>
      <c r="C132" s="3" t="s">
        <v>11</v>
      </c>
      <c r="D132" s="3">
        <v>5</v>
      </c>
      <c r="E132" s="21">
        <v>27017.8</v>
      </c>
      <c r="F132" s="3" t="s">
        <v>234</v>
      </c>
    </row>
    <row r="133" spans="1:6">
      <c r="A133" s="4">
        <v>46091</v>
      </c>
      <c r="B133" s="3" t="s">
        <v>224</v>
      </c>
      <c r="C133" s="3" t="s">
        <v>7</v>
      </c>
      <c r="D133" s="3">
        <v>9</v>
      </c>
      <c r="E133" s="21">
        <v>44181.34</v>
      </c>
      <c r="F133" s="3" t="s">
        <v>231</v>
      </c>
    </row>
    <row r="134" spans="1:6">
      <c r="A134" s="4">
        <v>46048</v>
      </c>
      <c r="B134" s="3" t="s">
        <v>224</v>
      </c>
      <c r="C134" s="3" t="s">
        <v>11</v>
      </c>
      <c r="D134" s="3">
        <v>7</v>
      </c>
      <c r="E134" s="21">
        <v>150315.4</v>
      </c>
      <c r="F134" s="3" t="s">
        <v>232</v>
      </c>
    </row>
    <row r="135" spans="1:6">
      <c r="A135" s="4">
        <v>46079</v>
      </c>
      <c r="B135" s="3" t="s">
        <v>226</v>
      </c>
      <c r="C135" s="3" t="s">
        <v>6</v>
      </c>
      <c r="D135" s="3">
        <v>8</v>
      </c>
      <c r="E135" s="21">
        <v>16973.38</v>
      </c>
      <c r="F135" s="3" t="s">
        <v>231</v>
      </c>
    </row>
    <row r="136" spans="1:6">
      <c r="A136" s="4">
        <v>46071</v>
      </c>
      <c r="B136" s="3" t="s">
        <v>223</v>
      </c>
      <c r="C136" s="3" t="s">
        <v>15</v>
      </c>
      <c r="D136" s="3">
        <v>7</v>
      </c>
      <c r="E136" s="21">
        <v>58907.21</v>
      </c>
      <c r="F136" s="3" t="s">
        <v>229</v>
      </c>
    </row>
    <row r="137" spans="1:6">
      <c r="A137" s="4">
        <v>46087</v>
      </c>
      <c r="B137" s="3" t="s">
        <v>224</v>
      </c>
      <c r="C137" s="3" t="s">
        <v>15</v>
      </c>
      <c r="D137" s="3">
        <v>8</v>
      </c>
      <c r="E137" s="21">
        <v>631.07000000000005</v>
      </c>
      <c r="F137" s="3" t="s">
        <v>233</v>
      </c>
    </row>
    <row r="138" spans="1:6">
      <c r="A138" s="4">
        <v>46113</v>
      </c>
      <c r="B138" s="3" t="s">
        <v>223</v>
      </c>
      <c r="C138" s="3" t="s">
        <v>11</v>
      </c>
      <c r="D138" s="3">
        <v>8</v>
      </c>
      <c r="E138" s="21">
        <v>1262.1400000000001</v>
      </c>
      <c r="F138" s="3" t="s">
        <v>231</v>
      </c>
    </row>
    <row r="139" spans="1:6">
      <c r="A139" s="4">
        <v>46167</v>
      </c>
      <c r="B139" s="3" t="s">
        <v>224</v>
      </c>
      <c r="C139" s="2" t="s">
        <v>12</v>
      </c>
      <c r="D139" s="3">
        <v>9</v>
      </c>
      <c r="E139" s="21">
        <v>27286.67</v>
      </c>
      <c r="F139" s="3" t="s">
        <v>229</v>
      </c>
    </row>
    <row r="140" spans="1:6">
      <c r="A140" s="4">
        <v>46115</v>
      </c>
      <c r="B140" s="3" t="s">
        <v>226</v>
      </c>
      <c r="C140" s="3" t="s">
        <v>15</v>
      </c>
      <c r="D140" s="3">
        <v>8</v>
      </c>
      <c r="E140" s="21">
        <v>98977.99</v>
      </c>
      <c r="F140" s="3" t="s">
        <v>233</v>
      </c>
    </row>
    <row r="141" spans="1:6">
      <c r="A141" s="4">
        <v>46042</v>
      </c>
      <c r="B141" s="3" t="s">
        <v>225</v>
      </c>
      <c r="C141" s="3" t="s">
        <v>8</v>
      </c>
      <c r="D141" s="3">
        <v>3</v>
      </c>
      <c r="E141" s="21">
        <v>631.07000000000005</v>
      </c>
      <c r="F141" s="3" t="s">
        <v>232</v>
      </c>
    </row>
    <row r="142" spans="1:6">
      <c r="A142" s="4">
        <v>46090</v>
      </c>
      <c r="B142" s="3" t="s">
        <v>223</v>
      </c>
      <c r="C142" s="3" t="s">
        <v>9</v>
      </c>
      <c r="D142" s="3">
        <v>1</v>
      </c>
      <c r="E142" s="21">
        <v>426098.66</v>
      </c>
      <c r="F142" s="3" t="s">
        <v>233</v>
      </c>
    </row>
    <row r="143" spans="1:6">
      <c r="A143" s="4">
        <v>46045</v>
      </c>
      <c r="B143" s="3" t="s">
        <v>222</v>
      </c>
      <c r="C143" s="3" t="s">
        <v>7</v>
      </c>
      <c r="D143" s="3">
        <v>7</v>
      </c>
      <c r="E143" s="21">
        <v>27011.64</v>
      </c>
      <c r="F143" s="3" t="s">
        <v>229</v>
      </c>
    </row>
    <row r="144" spans="1:6">
      <c r="A144" s="4">
        <v>46077</v>
      </c>
      <c r="B144" s="3" t="s">
        <v>225</v>
      </c>
      <c r="C144" s="3" t="s">
        <v>6</v>
      </c>
      <c r="D144" s="3">
        <v>9</v>
      </c>
      <c r="E144" s="21">
        <v>91096.82</v>
      </c>
      <c r="F144" s="3" t="s">
        <v>229</v>
      </c>
    </row>
    <row r="145" spans="1:6">
      <c r="A145" s="4">
        <v>46138</v>
      </c>
      <c r="B145" s="3" t="s">
        <v>226</v>
      </c>
      <c r="C145" s="3" t="s">
        <v>16</v>
      </c>
      <c r="D145" s="3">
        <v>7</v>
      </c>
      <c r="E145" s="21">
        <v>23009.83</v>
      </c>
      <c r="F145" s="3" t="s">
        <v>234</v>
      </c>
    </row>
    <row r="146" spans="1:6">
      <c r="A146" s="4">
        <v>46074</v>
      </c>
      <c r="B146" s="3" t="s">
        <v>223</v>
      </c>
      <c r="C146" s="3" t="s">
        <v>8</v>
      </c>
      <c r="D146" s="3">
        <v>3</v>
      </c>
      <c r="E146" s="21">
        <v>57314.65</v>
      </c>
      <c r="F146" s="3" t="s">
        <v>231</v>
      </c>
    </row>
    <row r="147" spans="1:6">
      <c r="A147" s="4">
        <v>46083</v>
      </c>
      <c r="B147" s="3" t="s">
        <v>226</v>
      </c>
      <c r="C147" s="3" t="s">
        <v>8</v>
      </c>
      <c r="D147" s="3">
        <v>9</v>
      </c>
      <c r="E147" s="21">
        <v>286877.68</v>
      </c>
      <c r="F147" s="3" t="s">
        <v>233</v>
      </c>
    </row>
    <row r="148" spans="1:6">
      <c r="A148" s="4">
        <v>46160</v>
      </c>
      <c r="B148" s="3" t="s">
        <v>225</v>
      </c>
      <c r="C148" s="3" t="s">
        <v>9</v>
      </c>
      <c r="D148" s="3">
        <v>6</v>
      </c>
      <c r="E148" s="21">
        <v>117393.66</v>
      </c>
      <c r="F148" s="3" t="s">
        <v>231</v>
      </c>
    </row>
    <row r="149" spans="1:6">
      <c r="A149" s="4">
        <v>46085</v>
      </c>
      <c r="B149" s="3" t="s">
        <v>225</v>
      </c>
      <c r="C149" s="3" t="s">
        <v>16</v>
      </c>
      <c r="D149" s="3">
        <v>10</v>
      </c>
      <c r="E149" s="21">
        <v>169113.13</v>
      </c>
      <c r="F149" s="3" t="s">
        <v>229</v>
      </c>
    </row>
    <row r="150" spans="1:6">
      <c r="A150" s="4">
        <v>46112</v>
      </c>
      <c r="B150" s="3" t="s">
        <v>226</v>
      </c>
      <c r="C150" s="3" t="s">
        <v>14</v>
      </c>
      <c r="D150" s="3">
        <v>5</v>
      </c>
      <c r="E150" s="21">
        <v>53350.82</v>
      </c>
      <c r="F150" s="3" t="s">
        <v>232</v>
      </c>
    </row>
    <row r="151" spans="1:6">
      <c r="A151" s="4">
        <v>46103</v>
      </c>
      <c r="B151" s="3" t="s">
        <v>225</v>
      </c>
      <c r="C151" s="3" t="s">
        <v>9</v>
      </c>
      <c r="D151" s="3">
        <v>9</v>
      </c>
      <c r="E151" s="21">
        <v>111277.47</v>
      </c>
      <c r="F151" s="3" t="s">
        <v>234</v>
      </c>
    </row>
    <row r="152" spans="1:6">
      <c r="A152" s="4">
        <v>46106</v>
      </c>
      <c r="B152" s="3" t="s">
        <v>223</v>
      </c>
      <c r="C152" s="3" t="s">
        <v>9</v>
      </c>
      <c r="D152" s="3">
        <v>10</v>
      </c>
      <c r="E152" s="21">
        <v>25162.58</v>
      </c>
      <c r="F152" s="3" t="s">
        <v>230</v>
      </c>
    </row>
    <row r="153" spans="1:6">
      <c r="A153" s="4">
        <v>46125</v>
      </c>
      <c r="B153" s="3" t="s">
        <v>226</v>
      </c>
      <c r="C153" s="3" t="s">
        <v>6</v>
      </c>
      <c r="D153" s="3">
        <v>9</v>
      </c>
      <c r="E153" s="21">
        <v>67579.259999999995</v>
      </c>
      <c r="F153" s="3" t="s">
        <v>230</v>
      </c>
    </row>
    <row r="154" spans="1:6">
      <c r="A154" s="4">
        <v>46038</v>
      </c>
      <c r="B154" s="3" t="s">
        <v>226</v>
      </c>
      <c r="C154" s="3" t="s">
        <v>6</v>
      </c>
      <c r="D154" s="3">
        <v>9</v>
      </c>
      <c r="E154" s="21">
        <v>41640.129999999997</v>
      </c>
      <c r="F154" s="3" t="s">
        <v>230</v>
      </c>
    </row>
    <row r="155" spans="1:6">
      <c r="A155" s="4">
        <v>46131</v>
      </c>
      <c r="B155" s="3" t="s">
        <v>224</v>
      </c>
      <c r="C155" s="2" t="s">
        <v>12</v>
      </c>
      <c r="D155" s="3">
        <v>9</v>
      </c>
      <c r="E155" s="21">
        <v>18325.990000000002</v>
      </c>
      <c r="F155" s="3" t="s">
        <v>230</v>
      </c>
    </row>
    <row r="156" spans="1:6">
      <c r="A156" s="4">
        <v>46130</v>
      </c>
      <c r="B156" s="3" t="s">
        <v>222</v>
      </c>
      <c r="C156" s="3" t="s">
        <v>9</v>
      </c>
      <c r="D156" s="3">
        <v>5</v>
      </c>
      <c r="E156" s="21">
        <v>135406.1</v>
      </c>
      <c r="F156" s="3" t="s">
        <v>234</v>
      </c>
    </row>
    <row r="157" spans="1:6">
      <c r="A157" s="4">
        <v>46140</v>
      </c>
      <c r="B157" s="3" t="s">
        <v>225</v>
      </c>
      <c r="C157" s="3" t="s">
        <v>15</v>
      </c>
      <c r="D157" s="3">
        <v>2</v>
      </c>
      <c r="E157" s="21">
        <v>36446.410000000003</v>
      </c>
      <c r="F157" s="3" t="s">
        <v>234</v>
      </c>
    </row>
    <row r="158" spans="1:6">
      <c r="A158" s="4">
        <v>46164</v>
      </c>
      <c r="B158" s="3" t="s">
        <v>226</v>
      </c>
      <c r="C158" s="3" t="s">
        <v>15</v>
      </c>
      <c r="D158" s="3">
        <v>9</v>
      </c>
      <c r="E158" s="21">
        <v>631.07000000000005</v>
      </c>
      <c r="F158" s="3" t="s">
        <v>228</v>
      </c>
    </row>
    <row r="159" spans="1:6">
      <c r="A159" s="4">
        <v>46135</v>
      </c>
      <c r="B159" s="3" t="s">
        <v>224</v>
      </c>
      <c r="C159" s="3" t="s">
        <v>15</v>
      </c>
      <c r="D159" s="3">
        <v>10</v>
      </c>
      <c r="E159" s="21">
        <v>631.07000000000005</v>
      </c>
      <c r="F159" s="3" t="s">
        <v>231</v>
      </c>
    </row>
    <row r="160" spans="1:6">
      <c r="A160" s="4">
        <v>46167</v>
      </c>
      <c r="B160" s="3" t="s">
        <v>222</v>
      </c>
      <c r="C160" s="3" t="s">
        <v>15</v>
      </c>
      <c r="D160" s="3">
        <v>1</v>
      </c>
      <c r="E160" s="21">
        <v>1262.1400000000001</v>
      </c>
      <c r="F160" s="3" t="s">
        <v>228</v>
      </c>
    </row>
    <row r="161" spans="1:6">
      <c r="A161" s="4">
        <v>46024</v>
      </c>
      <c r="B161" s="3" t="s">
        <v>226</v>
      </c>
      <c r="C161" s="3" t="s">
        <v>15</v>
      </c>
      <c r="D161" s="3">
        <v>2</v>
      </c>
      <c r="E161" s="21">
        <v>1893.21</v>
      </c>
      <c r="F161" s="3" t="s">
        <v>230</v>
      </c>
    </row>
    <row r="162" spans="1:6">
      <c r="A162" s="4">
        <v>46066</v>
      </c>
      <c r="B162" s="3" t="s">
        <v>225</v>
      </c>
      <c r="C162" s="3" t="s">
        <v>15</v>
      </c>
      <c r="D162" s="3">
        <v>2</v>
      </c>
      <c r="E162" s="21">
        <v>631.07000000000005</v>
      </c>
      <c r="F162" s="3" t="s">
        <v>232</v>
      </c>
    </row>
    <row r="163" spans="1:6">
      <c r="A163" s="4">
        <v>46108</v>
      </c>
      <c r="B163" s="3" t="s">
        <v>222</v>
      </c>
      <c r="C163" s="3" t="s">
        <v>15</v>
      </c>
      <c r="D163" s="3">
        <v>5</v>
      </c>
      <c r="E163" s="21">
        <v>631.07000000000005</v>
      </c>
      <c r="F163" s="3" t="s">
        <v>230</v>
      </c>
    </row>
    <row r="164" spans="1:6">
      <c r="A164" s="4">
        <v>46073</v>
      </c>
      <c r="B164" s="3" t="s">
        <v>225</v>
      </c>
      <c r="C164" s="3" t="s">
        <v>15</v>
      </c>
      <c r="D164" s="3">
        <v>10</v>
      </c>
      <c r="E164" s="21">
        <v>3155.35</v>
      </c>
      <c r="F164" s="3" t="s">
        <v>233</v>
      </c>
    </row>
    <row r="165" spans="1:6">
      <c r="A165" s="4">
        <v>46061</v>
      </c>
      <c r="B165" s="3" t="s">
        <v>225</v>
      </c>
      <c r="C165" s="3" t="s">
        <v>15</v>
      </c>
      <c r="D165" s="3">
        <v>3</v>
      </c>
      <c r="E165" s="21">
        <v>631.07000000000005</v>
      </c>
      <c r="F165" s="3" t="s">
        <v>233</v>
      </c>
    </row>
    <row r="166" spans="1:6">
      <c r="A166" s="4">
        <v>46135</v>
      </c>
      <c r="B166" s="3" t="s">
        <v>223</v>
      </c>
      <c r="C166" s="3" t="s">
        <v>15</v>
      </c>
      <c r="D166" s="3">
        <v>2</v>
      </c>
      <c r="E166" s="21">
        <v>6941.77</v>
      </c>
      <c r="F166" s="3" t="s">
        <v>234</v>
      </c>
    </row>
    <row r="167" spans="1:6">
      <c r="A167" s="4">
        <v>46133</v>
      </c>
      <c r="B167" s="3" t="s">
        <v>225</v>
      </c>
      <c r="C167" s="3" t="s">
        <v>15</v>
      </c>
      <c r="D167" s="3">
        <v>1</v>
      </c>
      <c r="E167" s="21">
        <v>631.07000000000005</v>
      </c>
      <c r="F167" s="3" t="s">
        <v>232</v>
      </c>
    </row>
    <row r="168" spans="1:6">
      <c r="A168" s="4">
        <v>46162</v>
      </c>
      <c r="B168" s="3" t="s">
        <v>224</v>
      </c>
      <c r="C168" s="3" t="s">
        <v>15</v>
      </c>
      <c r="D168" s="3">
        <v>5</v>
      </c>
      <c r="E168" s="21">
        <v>631.07000000000005</v>
      </c>
      <c r="F168" s="3" t="s">
        <v>227</v>
      </c>
    </row>
    <row r="169" spans="1:6">
      <c r="A169" s="4">
        <v>46157</v>
      </c>
      <c r="B169" s="3" t="s">
        <v>223</v>
      </c>
      <c r="C169" s="3" t="s">
        <v>7</v>
      </c>
      <c r="D169" s="3">
        <v>7</v>
      </c>
      <c r="E169" s="21">
        <v>631.07000000000005</v>
      </c>
      <c r="F169" s="3" t="s">
        <v>232</v>
      </c>
    </row>
    <row r="170" spans="1:6">
      <c r="A170" s="4">
        <v>46116</v>
      </c>
      <c r="B170" s="3" t="s">
        <v>223</v>
      </c>
      <c r="C170" s="3" t="s">
        <v>6</v>
      </c>
      <c r="D170" s="3">
        <v>7</v>
      </c>
      <c r="E170" s="21">
        <v>112659.26</v>
      </c>
      <c r="F170" s="3" t="s">
        <v>227</v>
      </c>
    </row>
    <row r="171" spans="1:6">
      <c r="A171" s="4">
        <v>46029</v>
      </c>
      <c r="B171" s="3" t="s">
        <v>224</v>
      </c>
      <c r="C171" s="3" t="s">
        <v>9</v>
      </c>
      <c r="D171" s="3">
        <v>8</v>
      </c>
      <c r="E171" s="21">
        <v>125726</v>
      </c>
      <c r="F171" s="3" t="s">
        <v>229</v>
      </c>
    </row>
    <row r="172" spans="1:6">
      <c r="A172" s="4">
        <v>46079</v>
      </c>
      <c r="B172" s="3" t="s">
        <v>222</v>
      </c>
      <c r="C172" s="3" t="s">
        <v>9</v>
      </c>
      <c r="D172" s="3">
        <v>5</v>
      </c>
      <c r="E172" s="21">
        <v>18517.47</v>
      </c>
      <c r="F172" s="3" t="s">
        <v>232</v>
      </c>
    </row>
    <row r="173" spans="1:6">
      <c r="A173" s="4">
        <v>46089</v>
      </c>
      <c r="B173" s="3" t="s">
        <v>226</v>
      </c>
      <c r="C173" s="3" t="s">
        <v>11</v>
      </c>
      <c r="D173" s="3">
        <v>4</v>
      </c>
      <c r="E173" s="21">
        <v>32187.19</v>
      </c>
      <c r="F173" s="3" t="s">
        <v>227</v>
      </c>
    </row>
    <row r="174" spans="1:6">
      <c r="A174" s="4">
        <v>46098</v>
      </c>
      <c r="B174" s="3" t="s">
        <v>224</v>
      </c>
      <c r="C174" s="3" t="s">
        <v>6</v>
      </c>
      <c r="D174" s="3">
        <v>4</v>
      </c>
      <c r="E174" s="21">
        <v>23512.57</v>
      </c>
      <c r="F174" s="3" t="s">
        <v>230</v>
      </c>
    </row>
    <row r="175" spans="1:6">
      <c r="A175" s="4">
        <v>46057</v>
      </c>
      <c r="B175" s="3" t="s">
        <v>222</v>
      </c>
      <c r="C175" s="3" t="s">
        <v>13</v>
      </c>
      <c r="D175" s="3">
        <v>3</v>
      </c>
      <c r="E175" s="21">
        <v>125726</v>
      </c>
      <c r="F175" s="3" t="s">
        <v>233</v>
      </c>
    </row>
    <row r="176" spans="1:6">
      <c r="A176" s="4">
        <v>46151</v>
      </c>
      <c r="B176" s="3" t="s">
        <v>225</v>
      </c>
      <c r="C176" s="3" t="s">
        <v>7</v>
      </c>
      <c r="D176" s="3">
        <v>1</v>
      </c>
      <c r="E176" s="21">
        <v>85349.78</v>
      </c>
      <c r="F176" s="3" t="s">
        <v>229</v>
      </c>
    </row>
    <row r="177" spans="1:6">
      <c r="A177" s="4">
        <v>46126</v>
      </c>
      <c r="B177" s="3" t="s">
        <v>223</v>
      </c>
      <c r="C177" s="3" t="s">
        <v>7</v>
      </c>
      <c r="D177" s="3">
        <v>2</v>
      </c>
      <c r="E177" s="21">
        <v>46838.48</v>
      </c>
      <c r="F177" s="3" t="s">
        <v>233</v>
      </c>
    </row>
    <row r="178" spans="1:6">
      <c r="A178" s="4">
        <v>46023</v>
      </c>
      <c r="B178" s="3" t="s">
        <v>224</v>
      </c>
      <c r="C178" s="3" t="s">
        <v>9</v>
      </c>
      <c r="D178" s="3">
        <v>10</v>
      </c>
      <c r="E178" s="21">
        <v>51966.26</v>
      </c>
      <c r="F178" s="3" t="s">
        <v>232</v>
      </c>
    </row>
    <row r="179" spans="1:6">
      <c r="A179" s="4">
        <v>46158</v>
      </c>
      <c r="B179" s="3" t="s">
        <v>224</v>
      </c>
      <c r="C179" s="3" t="s">
        <v>6</v>
      </c>
      <c r="D179" s="3">
        <v>4</v>
      </c>
      <c r="E179" s="21">
        <v>70311.149999999994</v>
      </c>
      <c r="F179" s="3" t="s">
        <v>231</v>
      </c>
    </row>
    <row r="180" spans="1:6">
      <c r="A180" s="4">
        <v>46058</v>
      </c>
      <c r="B180" s="3" t="s">
        <v>223</v>
      </c>
      <c r="C180" s="3" t="s">
        <v>9</v>
      </c>
      <c r="D180" s="3">
        <v>1</v>
      </c>
      <c r="E180" s="21">
        <v>91672.89</v>
      </c>
      <c r="F180" s="3" t="s">
        <v>231</v>
      </c>
    </row>
    <row r="181" spans="1:6">
      <c r="A181" s="4">
        <v>46048</v>
      </c>
      <c r="B181" s="3" t="s">
        <v>226</v>
      </c>
      <c r="C181" s="3" t="s">
        <v>9</v>
      </c>
      <c r="D181" s="3">
        <v>6</v>
      </c>
      <c r="E181" s="21">
        <v>67892.62</v>
      </c>
      <c r="F181" s="3" t="s">
        <v>229</v>
      </c>
    </row>
    <row r="182" spans="1:6">
      <c r="A182" s="4">
        <v>46116</v>
      </c>
      <c r="B182" s="3" t="s">
        <v>224</v>
      </c>
      <c r="C182" s="2" t="s">
        <v>12</v>
      </c>
      <c r="D182" s="3">
        <v>3</v>
      </c>
      <c r="E182" s="21">
        <v>67892.62</v>
      </c>
      <c r="F182" s="3" t="s">
        <v>229</v>
      </c>
    </row>
    <row r="183" spans="1:6">
      <c r="A183" s="4">
        <v>46108</v>
      </c>
      <c r="B183" s="3" t="s">
        <v>226</v>
      </c>
      <c r="C183" s="3" t="s">
        <v>7</v>
      </c>
      <c r="D183" s="3">
        <v>4</v>
      </c>
      <c r="E183" s="21">
        <v>268657.56</v>
      </c>
      <c r="F183" s="3" t="s">
        <v>230</v>
      </c>
    </row>
    <row r="184" spans="1:6">
      <c r="A184" s="4">
        <v>46128</v>
      </c>
      <c r="B184" s="3" t="s">
        <v>224</v>
      </c>
      <c r="C184" s="3" t="s">
        <v>9</v>
      </c>
      <c r="D184" s="3">
        <v>6</v>
      </c>
      <c r="E184" s="21">
        <v>127212.11</v>
      </c>
      <c r="F184" s="3" t="s">
        <v>234</v>
      </c>
    </row>
    <row r="185" spans="1:6">
      <c r="A185" s="4">
        <v>46165</v>
      </c>
      <c r="B185" s="3" t="s">
        <v>222</v>
      </c>
      <c r="C185" s="3" t="s">
        <v>6</v>
      </c>
      <c r="D185" s="3">
        <v>5</v>
      </c>
      <c r="E185" s="21">
        <v>50757.120000000003</v>
      </c>
      <c r="F185" s="3" t="s">
        <v>230</v>
      </c>
    </row>
    <row r="186" spans="1:6">
      <c r="A186" s="4">
        <v>46026</v>
      </c>
      <c r="B186" s="3" t="s">
        <v>225</v>
      </c>
      <c r="C186" s="3" t="s">
        <v>7</v>
      </c>
      <c r="D186" s="3">
        <v>7</v>
      </c>
      <c r="E186" s="21">
        <v>27346.3</v>
      </c>
      <c r="F186" s="3" t="s">
        <v>232</v>
      </c>
    </row>
    <row r="187" spans="1:6">
      <c r="A187" s="4">
        <v>46029</v>
      </c>
      <c r="B187" s="3" t="s">
        <v>223</v>
      </c>
      <c r="C187" s="3" t="s">
        <v>13</v>
      </c>
      <c r="D187" s="3">
        <v>10</v>
      </c>
      <c r="E187" s="21">
        <v>58192.49</v>
      </c>
      <c r="F187" s="3" t="s">
        <v>233</v>
      </c>
    </row>
    <row r="188" spans="1:6">
      <c r="A188" s="4">
        <v>46160</v>
      </c>
      <c r="B188" s="3" t="s">
        <v>225</v>
      </c>
      <c r="C188" s="3" t="s">
        <v>11</v>
      </c>
      <c r="D188" s="3">
        <v>2</v>
      </c>
      <c r="E188" s="21">
        <v>145576.66</v>
      </c>
      <c r="F188" s="3" t="s">
        <v>233</v>
      </c>
    </row>
    <row r="189" spans="1:6">
      <c r="A189" s="4">
        <v>46167</v>
      </c>
      <c r="B189" s="3" t="s">
        <v>224</v>
      </c>
      <c r="C189" s="3" t="s">
        <v>7</v>
      </c>
      <c r="D189" s="3">
        <v>2</v>
      </c>
      <c r="E189" s="21">
        <v>32080.32</v>
      </c>
      <c r="F189" s="3" t="s">
        <v>234</v>
      </c>
    </row>
    <row r="190" spans="1:6">
      <c r="A190" s="4">
        <v>46146</v>
      </c>
      <c r="B190" s="3" t="s">
        <v>222</v>
      </c>
      <c r="C190" s="3" t="s">
        <v>9</v>
      </c>
      <c r="D190" s="3">
        <v>7</v>
      </c>
      <c r="E190" s="21">
        <v>309583.74</v>
      </c>
      <c r="F190" s="3" t="s">
        <v>234</v>
      </c>
    </row>
    <row r="191" spans="1:6">
      <c r="A191" s="4">
        <v>46094</v>
      </c>
      <c r="B191" s="3" t="s">
        <v>226</v>
      </c>
      <c r="C191" s="3" t="s">
        <v>7</v>
      </c>
      <c r="D191" s="3">
        <v>3</v>
      </c>
      <c r="E191" s="21">
        <v>80423.87</v>
      </c>
      <c r="F191" s="3" t="s">
        <v>228</v>
      </c>
    </row>
    <row r="192" spans="1:6">
      <c r="A192" s="4">
        <v>46173</v>
      </c>
      <c r="B192" s="3" t="s">
        <v>223</v>
      </c>
      <c r="C192" s="3" t="s">
        <v>11</v>
      </c>
      <c r="D192" s="3">
        <v>3</v>
      </c>
      <c r="E192" s="21">
        <v>132530.72</v>
      </c>
      <c r="F192" s="3" t="s">
        <v>228</v>
      </c>
    </row>
    <row r="193" spans="1:6">
      <c r="A193" s="4">
        <v>46043</v>
      </c>
      <c r="B193" s="3" t="s">
        <v>224</v>
      </c>
      <c r="C193" s="2" t="s">
        <v>12</v>
      </c>
      <c r="D193" s="3">
        <v>5</v>
      </c>
      <c r="E193" s="21">
        <v>34138.480000000003</v>
      </c>
      <c r="F193" s="3" t="s">
        <v>234</v>
      </c>
    </row>
    <row r="194" spans="1:6">
      <c r="A194" s="4">
        <v>46049</v>
      </c>
      <c r="B194" s="3" t="s">
        <v>223</v>
      </c>
      <c r="C194" s="3" t="s">
        <v>9</v>
      </c>
      <c r="D194" s="3">
        <v>1</v>
      </c>
      <c r="E194" s="21">
        <v>297708.55</v>
      </c>
      <c r="F194" s="3" t="s">
        <v>229</v>
      </c>
    </row>
    <row r="195" spans="1:6">
      <c r="A195" s="4">
        <v>46144</v>
      </c>
      <c r="B195" s="3" t="s">
        <v>223</v>
      </c>
      <c r="C195" s="2" t="s">
        <v>12</v>
      </c>
      <c r="D195" s="3">
        <v>6</v>
      </c>
      <c r="E195" s="21">
        <v>43518.02</v>
      </c>
      <c r="F195" s="3" t="s">
        <v>232</v>
      </c>
    </row>
    <row r="196" spans="1:6">
      <c r="A196" s="4">
        <v>46096</v>
      </c>
      <c r="B196" s="3" t="s">
        <v>224</v>
      </c>
      <c r="C196" s="3" t="s">
        <v>6</v>
      </c>
      <c r="D196" s="3">
        <v>4</v>
      </c>
      <c r="E196" s="21">
        <v>331466.02</v>
      </c>
      <c r="F196" s="3" t="s">
        <v>231</v>
      </c>
    </row>
    <row r="197" spans="1:6">
      <c r="A197" s="4">
        <v>46052</v>
      </c>
      <c r="B197" s="3" t="s">
        <v>225</v>
      </c>
      <c r="C197" s="3" t="s">
        <v>9</v>
      </c>
      <c r="D197" s="3">
        <v>7</v>
      </c>
      <c r="E197" s="21">
        <v>44391.06</v>
      </c>
      <c r="F197" s="3" t="s">
        <v>232</v>
      </c>
    </row>
    <row r="198" spans="1:6">
      <c r="A198" s="4">
        <v>46055</v>
      </c>
      <c r="B198" s="3" t="s">
        <v>224</v>
      </c>
      <c r="C198" s="3" t="s">
        <v>11</v>
      </c>
      <c r="D198" s="3">
        <v>6</v>
      </c>
      <c r="E198" s="21">
        <v>77860.639999999999</v>
      </c>
      <c r="F198" s="3" t="s">
        <v>230</v>
      </c>
    </row>
    <row r="199" spans="1:6">
      <c r="A199" s="4">
        <v>46066</v>
      </c>
      <c r="B199" s="3" t="s">
        <v>223</v>
      </c>
      <c r="C199" s="3" t="s">
        <v>6</v>
      </c>
      <c r="D199" s="3">
        <v>5</v>
      </c>
      <c r="E199" s="21">
        <v>29760</v>
      </c>
      <c r="F199" s="3" t="s">
        <v>233</v>
      </c>
    </row>
    <row r="200" spans="1:6">
      <c r="A200" s="4">
        <v>46138</v>
      </c>
      <c r="B200" s="3" t="s">
        <v>225</v>
      </c>
      <c r="C200" s="3" t="s">
        <v>6</v>
      </c>
      <c r="D200" s="3">
        <v>3</v>
      </c>
      <c r="E200" s="21">
        <v>50917.85</v>
      </c>
      <c r="F200" s="3" t="s">
        <v>228</v>
      </c>
    </row>
    <row r="201" spans="1:6">
      <c r="A201" s="4">
        <v>46173</v>
      </c>
      <c r="B201" s="3" t="s">
        <v>222</v>
      </c>
      <c r="C201" s="3" t="s">
        <v>9</v>
      </c>
      <c r="D201" s="3">
        <v>4</v>
      </c>
      <c r="E201" s="21">
        <v>67531.11</v>
      </c>
      <c r="F201" s="3" t="s">
        <v>228</v>
      </c>
    </row>
    <row r="202" spans="1:6">
      <c r="A202" s="9">
        <v>46163</v>
      </c>
      <c r="B202" s="3" t="s">
        <v>223</v>
      </c>
      <c r="C202" s="10" t="s">
        <v>7</v>
      </c>
      <c r="D202" s="10">
        <v>1</v>
      </c>
      <c r="E202" s="22">
        <v>52101.58</v>
      </c>
      <c r="F202" s="10" t="s">
        <v>234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3F84-A714-4D40-B084-2D2D6EDD7DF2}">
  <dimension ref="A1:G201"/>
  <sheetViews>
    <sheetView showGridLines="0" showRowColHeaders="0" workbookViewId="0">
      <selection activeCell="J16" sqref="J16"/>
    </sheetView>
  </sheetViews>
  <sheetFormatPr defaultRowHeight="14.4"/>
  <cols>
    <col min="1" max="1" width="11.77734375" customWidth="1"/>
    <col min="2" max="2" width="25.33203125" customWidth="1"/>
    <col min="3" max="3" width="19.44140625" customWidth="1"/>
    <col min="5" max="5" width="14" customWidth="1"/>
    <col min="6" max="6" width="13.21875" customWidth="1"/>
    <col min="7" max="7" width="17.5546875" customWidth="1"/>
  </cols>
  <sheetData>
    <row r="1" spans="1:7">
      <c r="A1" s="27" t="s">
        <v>305</v>
      </c>
      <c r="B1" s="28" t="s">
        <v>1</v>
      </c>
      <c r="C1" s="28" t="s">
        <v>4</v>
      </c>
      <c r="D1" s="28" t="s">
        <v>5</v>
      </c>
      <c r="E1" s="29" t="s">
        <v>217</v>
      </c>
      <c r="F1" s="28" t="s">
        <v>218</v>
      </c>
      <c r="G1" s="29" t="s">
        <v>219</v>
      </c>
    </row>
    <row r="2" spans="1:7">
      <c r="A2" s="23" t="s">
        <v>17</v>
      </c>
      <c r="B2" s="3" t="s">
        <v>15</v>
      </c>
      <c r="C2" s="3">
        <v>7</v>
      </c>
      <c r="D2" s="3">
        <v>5</v>
      </c>
      <c r="E2" s="5">
        <f t="shared" ref="E2:E65" si="0">C2-D2</f>
        <v>2</v>
      </c>
      <c r="F2" s="19" t="str">
        <f>IF(E2&lt;=2,"Critical",IF(E2&lt;=4,"Low","Healthy"))</f>
        <v>Critical</v>
      </c>
      <c r="G2" s="25" t="str">
        <f t="shared" ref="G2:G65" si="1">IF(F2="critical","Yes","No")</f>
        <v>Yes</v>
      </c>
    </row>
    <row r="3" spans="1:7">
      <c r="A3" s="23" t="s">
        <v>18</v>
      </c>
      <c r="B3" s="3" t="s">
        <v>16</v>
      </c>
      <c r="C3" s="3">
        <v>9</v>
      </c>
      <c r="D3" s="3">
        <v>3</v>
      </c>
      <c r="E3" s="5">
        <f t="shared" si="0"/>
        <v>6</v>
      </c>
      <c r="F3" s="3" t="str">
        <f t="shared" ref="F3:F66" si="2">IF(E3&lt;=2,"Critical",IF(E3&lt;=4,"Low","Healthy"))</f>
        <v>Healthy</v>
      </c>
      <c r="G3" s="5" t="str">
        <f t="shared" si="1"/>
        <v>No</v>
      </c>
    </row>
    <row r="4" spans="1:7">
      <c r="A4" s="23" t="s">
        <v>19</v>
      </c>
      <c r="B4" s="3" t="s">
        <v>15</v>
      </c>
      <c r="C4" s="3">
        <v>7</v>
      </c>
      <c r="D4" s="3">
        <v>1</v>
      </c>
      <c r="E4" s="5">
        <f t="shared" si="0"/>
        <v>6</v>
      </c>
      <c r="F4" s="3" t="str">
        <f t="shared" si="2"/>
        <v>Healthy</v>
      </c>
      <c r="G4" s="5" t="str">
        <f t="shared" si="1"/>
        <v>No</v>
      </c>
    </row>
    <row r="5" spans="1:7">
      <c r="A5" s="23" t="s">
        <v>20</v>
      </c>
      <c r="B5" s="3" t="s">
        <v>12</v>
      </c>
      <c r="C5" s="3">
        <v>7</v>
      </c>
      <c r="D5" s="3">
        <v>1</v>
      </c>
      <c r="E5" s="5">
        <f t="shared" si="0"/>
        <v>6</v>
      </c>
      <c r="F5" s="3" t="str">
        <f t="shared" si="2"/>
        <v>Healthy</v>
      </c>
      <c r="G5" s="5" t="str">
        <f t="shared" si="1"/>
        <v>No</v>
      </c>
    </row>
    <row r="6" spans="1:7">
      <c r="A6" s="23" t="s">
        <v>21</v>
      </c>
      <c r="B6" s="3" t="s">
        <v>14</v>
      </c>
      <c r="C6" s="3">
        <v>6</v>
      </c>
      <c r="D6" s="3">
        <v>1</v>
      </c>
      <c r="E6" s="5">
        <f t="shared" si="0"/>
        <v>5</v>
      </c>
      <c r="F6" s="3" t="str">
        <f t="shared" si="2"/>
        <v>Healthy</v>
      </c>
      <c r="G6" s="5" t="str">
        <f t="shared" si="1"/>
        <v>No</v>
      </c>
    </row>
    <row r="7" spans="1:7">
      <c r="A7" s="23" t="s">
        <v>22</v>
      </c>
      <c r="B7" s="3" t="s">
        <v>11</v>
      </c>
      <c r="C7" s="3">
        <v>6</v>
      </c>
      <c r="D7" s="3">
        <v>2</v>
      </c>
      <c r="E7" s="5">
        <f t="shared" si="0"/>
        <v>4</v>
      </c>
      <c r="F7" s="3" t="str">
        <f t="shared" si="2"/>
        <v>Low</v>
      </c>
      <c r="G7" s="5" t="str">
        <f t="shared" si="1"/>
        <v>No</v>
      </c>
    </row>
    <row r="8" spans="1:7">
      <c r="A8" s="23" t="s">
        <v>23</v>
      </c>
      <c r="B8" s="3" t="s">
        <v>8</v>
      </c>
      <c r="C8" s="3">
        <v>6</v>
      </c>
      <c r="D8" s="3">
        <v>2</v>
      </c>
      <c r="E8" s="5">
        <f t="shared" si="0"/>
        <v>4</v>
      </c>
      <c r="F8" s="3" t="str">
        <f t="shared" si="2"/>
        <v>Low</v>
      </c>
      <c r="G8" s="5" t="str">
        <f t="shared" si="1"/>
        <v>No</v>
      </c>
    </row>
    <row r="9" spans="1:7">
      <c r="A9" s="23" t="s">
        <v>24</v>
      </c>
      <c r="B9" s="3" t="s">
        <v>11</v>
      </c>
      <c r="C9" s="3">
        <v>7</v>
      </c>
      <c r="D9" s="3">
        <v>3</v>
      </c>
      <c r="E9" s="5">
        <f t="shared" si="0"/>
        <v>4</v>
      </c>
      <c r="F9" s="3" t="str">
        <f t="shared" si="2"/>
        <v>Low</v>
      </c>
      <c r="G9" s="5" t="str">
        <f t="shared" si="1"/>
        <v>No</v>
      </c>
    </row>
    <row r="10" spans="1:7">
      <c r="A10" s="23" t="s">
        <v>25</v>
      </c>
      <c r="B10" s="3" t="s">
        <v>8</v>
      </c>
      <c r="C10" s="3">
        <v>7</v>
      </c>
      <c r="D10" s="3">
        <v>3</v>
      </c>
      <c r="E10" s="5">
        <f t="shared" si="0"/>
        <v>4</v>
      </c>
      <c r="F10" s="3" t="str">
        <f t="shared" si="2"/>
        <v>Low</v>
      </c>
      <c r="G10" s="5" t="str">
        <f t="shared" si="1"/>
        <v>No</v>
      </c>
    </row>
    <row r="11" spans="1:7">
      <c r="A11" s="23" t="s">
        <v>26</v>
      </c>
      <c r="B11" s="3" t="s">
        <v>6</v>
      </c>
      <c r="C11" s="3">
        <v>6</v>
      </c>
      <c r="D11" s="3">
        <v>2</v>
      </c>
      <c r="E11" s="5">
        <f t="shared" si="0"/>
        <v>4</v>
      </c>
      <c r="F11" s="3" t="str">
        <f t="shared" si="2"/>
        <v>Low</v>
      </c>
      <c r="G11" s="5" t="str">
        <f t="shared" si="1"/>
        <v>No</v>
      </c>
    </row>
    <row r="12" spans="1:7">
      <c r="A12" s="23" t="s">
        <v>27</v>
      </c>
      <c r="B12" s="3" t="s">
        <v>9</v>
      </c>
      <c r="C12" s="3">
        <v>5</v>
      </c>
      <c r="D12" s="3">
        <v>1</v>
      </c>
      <c r="E12" s="5">
        <f t="shared" si="0"/>
        <v>4</v>
      </c>
      <c r="F12" s="3" t="str">
        <f t="shared" si="2"/>
        <v>Low</v>
      </c>
      <c r="G12" s="5" t="str">
        <f t="shared" si="1"/>
        <v>No</v>
      </c>
    </row>
    <row r="13" spans="1:7">
      <c r="A13" s="23" t="s">
        <v>28</v>
      </c>
      <c r="B13" s="3" t="s">
        <v>13</v>
      </c>
      <c r="C13" s="3">
        <v>6</v>
      </c>
      <c r="D13" s="3">
        <v>3</v>
      </c>
      <c r="E13" s="5">
        <f t="shared" si="0"/>
        <v>3</v>
      </c>
      <c r="F13" s="3" t="str">
        <f t="shared" si="2"/>
        <v>Low</v>
      </c>
      <c r="G13" s="5" t="str">
        <f t="shared" si="1"/>
        <v>No</v>
      </c>
    </row>
    <row r="14" spans="1:7">
      <c r="A14" s="23" t="s">
        <v>29</v>
      </c>
      <c r="B14" s="3" t="s">
        <v>6</v>
      </c>
      <c r="C14" s="3">
        <v>6</v>
      </c>
      <c r="D14" s="3">
        <v>3</v>
      </c>
      <c r="E14" s="5">
        <f t="shared" si="0"/>
        <v>3</v>
      </c>
      <c r="F14" s="3" t="str">
        <f t="shared" si="2"/>
        <v>Low</v>
      </c>
      <c r="G14" s="5" t="str">
        <f t="shared" si="1"/>
        <v>No</v>
      </c>
    </row>
    <row r="15" spans="1:7">
      <c r="A15" s="23" t="s">
        <v>30</v>
      </c>
      <c r="B15" s="3" t="s">
        <v>9</v>
      </c>
      <c r="C15" s="3">
        <v>4</v>
      </c>
      <c r="D15" s="3">
        <v>1</v>
      </c>
      <c r="E15" s="5">
        <f t="shared" si="0"/>
        <v>3</v>
      </c>
      <c r="F15" s="3" t="str">
        <f t="shared" si="2"/>
        <v>Low</v>
      </c>
      <c r="G15" s="5" t="str">
        <f t="shared" si="1"/>
        <v>No</v>
      </c>
    </row>
    <row r="16" spans="1:7">
      <c r="A16" s="23" t="s">
        <v>31</v>
      </c>
      <c r="B16" s="3" t="s">
        <v>6</v>
      </c>
      <c r="C16" s="3">
        <v>4</v>
      </c>
      <c r="D16" s="3">
        <v>1</v>
      </c>
      <c r="E16" s="5">
        <f t="shared" si="0"/>
        <v>3</v>
      </c>
      <c r="F16" s="3" t="str">
        <f t="shared" si="2"/>
        <v>Low</v>
      </c>
      <c r="G16" s="5" t="str">
        <f t="shared" si="1"/>
        <v>No</v>
      </c>
    </row>
    <row r="17" spans="1:7">
      <c r="A17" s="23" t="s">
        <v>32</v>
      </c>
      <c r="B17" s="3" t="s">
        <v>6</v>
      </c>
      <c r="C17" s="3">
        <v>6</v>
      </c>
      <c r="D17" s="3">
        <v>3</v>
      </c>
      <c r="E17" s="5">
        <f t="shared" si="0"/>
        <v>3</v>
      </c>
      <c r="F17" s="3" t="str">
        <f t="shared" si="2"/>
        <v>Low</v>
      </c>
      <c r="G17" s="5" t="str">
        <f t="shared" si="1"/>
        <v>No</v>
      </c>
    </row>
    <row r="18" spans="1:7">
      <c r="A18" s="23" t="s">
        <v>33</v>
      </c>
      <c r="B18" s="3" t="s">
        <v>6</v>
      </c>
      <c r="C18" s="3">
        <v>7</v>
      </c>
      <c r="D18" s="3">
        <v>4</v>
      </c>
      <c r="E18" s="5">
        <f t="shared" si="0"/>
        <v>3</v>
      </c>
      <c r="F18" s="3" t="str">
        <f t="shared" si="2"/>
        <v>Low</v>
      </c>
      <c r="G18" s="5" t="str">
        <f t="shared" si="1"/>
        <v>No</v>
      </c>
    </row>
    <row r="19" spans="1:7">
      <c r="A19" s="23" t="s">
        <v>34</v>
      </c>
      <c r="B19" s="3" t="s">
        <v>10</v>
      </c>
      <c r="C19" s="3">
        <v>7</v>
      </c>
      <c r="D19" s="3">
        <v>4</v>
      </c>
      <c r="E19" s="5">
        <f t="shared" si="0"/>
        <v>3</v>
      </c>
      <c r="F19" s="3" t="str">
        <f t="shared" si="2"/>
        <v>Low</v>
      </c>
      <c r="G19" s="5" t="str">
        <f t="shared" si="1"/>
        <v>No</v>
      </c>
    </row>
    <row r="20" spans="1:7">
      <c r="A20" s="23" t="s">
        <v>35</v>
      </c>
      <c r="B20" s="3" t="s">
        <v>9</v>
      </c>
      <c r="C20" s="3">
        <v>7</v>
      </c>
      <c r="D20" s="3">
        <v>4</v>
      </c>
      <c r="E20" s="5">
        <f t="shared" si="0"/>
        <v>3</v>
      </c>
      <c r="F20" s="3" t="str">
        <f t="shared" si="2"/>
        <v>Low</v>
      </c>
      <c r="G20" s="5" t="str">
        <f t="shared" si="1"/>
        <v>No</v>
      </c>
    </row>
    <row r="21" spans="1:7">
      <c r="A21" s="23" t="s">
        <v>36</v>
      </c>
      <c r="B21" s="3" t="s">
        <v>9</v>
      </c>
      <c r="C21" s="3">
        <v>6</v>
      </c>
      <c r="D21" s="3">
        <v>3</v>
      </c>
      <c r="E21" s="5">
        <f t="shared" si="0"/>
        <v>3</v>
      </c>
      <c r="F21" s="3" t="str">
        <f t="shared" si="2"/>
        <v>Low</v>
      </c>
      <c r="G21" s="5" t="str">
        <f t="shared" si="1"/>
        <v>No</v>
      </c>
    </row>
    <row r="22" spans="1:7">
      <c r="A22" s="23" t="s">
        <v>37</v>
      </c>
      <c r="B22" s="3" t="s">
        <v>15</v>
      </c>
      <c r="C22" s="3">
        <v>4</v>
      </c>
      <c r="D22" s="3">
        <v>1</v>
      </c>
      <c r="E22" s="5">
        <f t="shared" si="0"/>
        <v>3</v>
      </c>
      <c r="F22" s="3" t="str">
        <f t="shared" si="2"/>
        <v>Low</v>
      </c>
      <c r="G22" s="5" t="str">
        <f t="shared" si="1"/>
        <v>No</v>
      </c>
    </row>
    <row r="23" spans="1:7">
      <c r="A23" s="23" t="s">
        <v>38</v>
      </c>
      <c r="B23" s="3" t="s">
        <v>9</v>
      </c>
      <c r="C23" s="3">
        <v>5</v>
      </c>
      <c r="D23" s="3">
        <v>2</v>
      </c>
      <c r="E23" s="5">
        <f t="shared" si="0"/>
        <v>3</v>
      </c>
      <c r="F23" s="3" t="str">
        <f t="shared" si="2"/>
        <v>Low</v>
      </c>
      <c r="G23" s="5" t="str">
        <f t="shared" si="1"/>
        <v>No</v>
      </c>
    </row>
    <row r="24" spans="1:7">
      <c r="A24" s="23" t="s">
        <v>39</v>
      </c>
      <c r="B24" s="3" t="s">
        <v>9</v>
      </c>
      <c r="C24" s="3">
        <v>5</v>
      </c>
      <c r="D24" s="3">
        <v>3</v>
      </c>
      <c r="E24" s="5">
        <f t="shared" si="0"/>
        <v>2</v>
      </c>
      <c r="F24" s="3" t="str">
        <f t="shared" si="2"/>
        <v>Critical</v>
      </c>
      <c r="G24" s="5" t="str">
        <f t="shared" si="1"/>
        <v>Yes</v>
      </c>
    </row>
    <row r="25" spans="1:7">
      <c r="A25" s="23" t="s">
        <v>40</v>
      </c>
      <c r="B25" s="3" t="s">
        <v>10</v>
      </c>
      <c r="C25" s="3">
        <v>3</v>
      </c>
      <c r="D25" s="3">
        <v>1</v>
      </c>
      <c r="E25" s="5">
        <f t="shared" si="0"/>
        <v>2</v>
      </c>
      <c r="F25" s="3" t="str">
        <f t="shared" si="2"/>
        <v>Critical</v>
      </c>
      <c r="G25" s="5" t="str">
        <f t="shared" si="1"/>
        <v>Yes</v>
      </c>
    </row>
    <row r="26" spans="1:7">
      <c r="A26" s="23" t="s">
        <v>41</v>
      </c>
      <c r="B26" s="3" t="s">
        <v>9</v>
      </c>
      <c r="C26" s="3">
        <v>7</v>
      </c>
      <c r="D26" s="3">
        <v>5</v>
      </c>
      <c r="E26" s="5">
        <f t="shared" si="0"/>
        <v>2</v>
      </c>
      <c r="F26" s="3" t="str">
        <f t="shared" si="2"/>
        <v>Critical</v>
      </c>
      <c r="G26" s="5" t="str">
        <f t="shared" si="1"/>
        <v>Yes</v>
      </c>
    </row>
    <row r="27" spans="1:7">
      <c r="A27" s="23" t="s">
        <v>42</v>
      </c>
      <c r="B27" s="3" t="s">
        <v>6</v>
      </c>
      <c r="C27" s="3">
        <v>5</v>
      </c>
      <c r="D27" s="3">
        <v>3</v>
      </c>
      <c r="E27" s="5">
        <f t="shared" si="0"/>
        <v>2</v>
      </c>
      <c r="F27" s="3" t="str">
        <f t="shared" si="2"/>
        <v>Critical</v>
      </c>
      <c r="G27" s="5" t="str">
        <f t="shared" si="1"/>
        <v>Yes</v>
      </c>
    </row>
    <row r="28" spans="1:7">
      <c r="A28" s="23" t="s">
        <v>43</v>
      </c>
      <c r="B28" s="3" t="s">
        <v>7</v>
      </c>
      <c r="C28" s="3">
        <v>6</v>
      </c>
      <c r="D28" s="3">
        <v>4</v>
      </c>
      <c r="E28" s="5">
        <f t="shared" si="0"/>
        <v>2</v>
      </c>
      <c r="F28" s="3" t="str">
        <f t="shared" si="2"/>
        <v>Critical</v>
      </c>
      <c r="G28" s="5" t="str">
        <f t="shared" si="1"/>
        <v>Yes</v>
      </c>
    </row>
    <row r="29" spans="1:7">
      <c r="A29" s="23" t="s">
        <v>44</v>
      </c>
      <c r="B29" s="3" t="s">
        <v>8</v>
      </c>
      <c r="C29" s="3">
        <v>7</v>
      </c>
      <c r="D29" s="3">
        <v>5</v>
      </c>
      <c r="E29" s="5">
        <f t="shared" si="0"/>
        <v>2</v>
      </c>
      <c r="F29" s="3" t="str">
        <f t="shared" si="2"/>
        <v>Critical</v>
      </c>
      <c r="G29" s="5" t="str">
        <f t="shared" si="1"/>
        <v>Yes</v>
      </c>
    </row>
    <row r="30" spans="1:7">
      <c r="A30" s="23" t="s">
        <v>45</v>
      </c>
      <c r="B30" s="3" t="s">
        <v>11</v>
      </c>
      <c r="C30" s="3">
        <v>3</v>
      </c>
      <c r="D30" s="3">
        <v>1</v>
      </c>
      <c r="E30" s="5">
        <f t="shared" si="0"/>
        <v>2</v>
      </c>
      <c r="F30" s="3" t="str">
        <f t="shared" si="2"/>
        <v>Critical</v>
      </c>
      <c r="G30" s="5" t="str">
        <f t="shared" si="1"/>
        <v>Yes</v>
      </c>
    </row>
    <row r="31" spans="1:7">
      <c r="A31" s="23" t="s">
        <v>46</v>
      </c>
      <c r="B31" s="3" t="s">
        <v>8</v>
      </c>
      <c r="C31" s="3">
        <v>5</v>
      </c>
      <c r="D31" s="3">
        <v>3</v>
      </c>
      <c r="E31" s="5">
        <f t="shared" si="0"/>
        <v>2</v>
      </c>
      <c r="F31" s="3" t="str">
        <f t="shared" si="2"/>
        <v>Critical</v>
      </c>
      <c r="G31" s="5" t="str">
        <f t="shared" si="1"/>
        <v>Yes</v>
      </c>
    </row>
    <row r="32" spans="1:7">
      <c r="A32" s="23" t="s">
        <v>47</v>
      </c>
      <c r="B32" s="3" t="s">
        <v>6</v>
      </c>
      <c r="C32" s="3">
        <v>7</v>
      </c>
      <c r="D32" s="3">
        <v>5</v>
      </c>
      <c r="E32" s="5">
        <f t="shared" si="0"/>
        <v>2</v>
      </c>
      <c r="F32" s="3" t="str">
        <f t="shared" si="2"/>
        <v>Critical</v>
      </c>
      <c r="G32" s="5" t="str">
        <f t="shared" si="1"/>
        <v>Yes</v>
      </c>
    </row>
    <row r="33" spans="1:7">
      <c r="A33" s="23" t="s">
        <v>48</v>
      </c>
      <c r="B33" s="3" t="s">
        <v>9</v>
      </c>
      <c r="C33" s="3">
        <v>7</v>
      </c>
      <c r="D33" s="3">
        <v>5</v>
      </c>
      <c r="E33" s="5">
        <f t="shared" si="0"/>
        <v>2</v>
      </c>
      <c r="F33" s="3" t="str">
        <f t="shared" si="2"/>
        <v>Critical</v>
      </c>
      <c r="G33" s="5" t="str">
        <f t="shared" si="1"/>
        <v>Yes</v>
      </c>
    </row>
    <row r="34" spans="1:7">
      <c r="A34" s="23" t="s">
        <v>49</v>
      </c>
      <c r="B34" s="3" t="s">
        <v>13</v>
      </c>
      <c r="C34" s="3">
        <v>7</v>
      </c>
      <c r="D34" s="3">
        <v>5</v>
      </c>
      <c r="E34" s="5">
        <f t="shared" si="0"/>
        <v>2</v>
      </c>
      <c r="F34" s="3" t="str">
        <f t="shared" si="2"/>
        <v>Critical</v>
      </c>
      <c r="G34" s="5" t="str">
        <f t="shared" si="1"/>
        <v>Yes</v>
      </c>
    </row>
    <row r="35" spans="1:7">
      <c r="A35" s="23" t="s">
        <v>50</v>
      </c>
      <c r="B35" s="3" t="s">
        <v>6</v>
      </c>
      <c r="C35" s="3">
        <v>4</v>
      </c>
      <c r="D35" s="3">
        <v>3</v>
      </c>
      <c r="E35" s="5">
        <f t="shared" si="0"/>
        <v>1</v>
      </c>
      <c r="F35" s="3" t="str">
        <f t="shared" si="2"/>
        <v>Critical</v>
      </c>
      <c r="G35" s="5" t="str">
        <f t="shared" si="1"/>
        <v>Yes</v>
      </c>
    </row>
    <row r="36" spans="1:7">
      <c r="A36" s="23" t="s">
        <v>51</v>
      </c>
      <c r="B36" s="3" t="s">
        <v>9</v>
      </c>
      <c r="C36" s="3">
        <v>7</v>
      </c>
      <c r="D36" s="3">
        <v>6</v>
      </c>
      <c r="E36" s="5">
        <f t="shared" si="0"/>
        <v>1</v>
      </c>
      <c r="F36" s="3" t="str">
        <f t="shared" si="2"/>
        <v>Critical</v>
      </c>
      <c r="G36" s="5" t="str">
        <f t="shared" si="1"/>
        <v>Yes</v>
      </c>
    </row>
    <row r="37" spans="1:7">
      <c r="A37" s="23" t="s">
        <v>52</v>
      </c>
      <c r="B37" s="3" t="s">
        <v>6</v>
      </c>
      <c r="C37" s="3">
        <v>7</v>
      </c>
      <c r="D37" s="3">
        <v>6</v>
      </c>
      <c r="E37" s="5">
        <f t="shared" si="0"/>
        <v>1</v>
      </c>
      <c r="F37" s="3" t="str">
        <f t="shared" si="2"/>
        <v>Critical</v>
      </c>
      <c r="G37" s="5" t="str">
        <f t="shared" si="1"/>
        <v>Yes</v>
      </c>
    </row>
    <row r="38" spans="1:7">
      <c r="A38" s="23" t="s">
        <v>53</v>
      </c>
      <c r="B38" s="3" t="s">
        <v>8</v>
      </c>
      <c r="C38" s="3">
        <v>2</v>
      </c>
      <c r="D38" s="3">
        <v>1</v>
      </c>
      <c r="E38" s="5">
        <f t="shared" si="0"/>
        <v>1</v>
      </c>
      <c r="F38" s="3" t="str">
        <f t="shared" si="2"/>
        <v>Critical</v>
      </c>
      <c r="G38" s="5" t="str">
        <f t="shared" si="1"/>
        <v>Yes</v>
      </c>
    </row>
    <row r="39" spans="1:7">
      <c r="A39" s="23" t="s">
        <v>54</v>
      </c>
      <c r="B39" s="3" t="s">
        <v>9</v>
      </c>
      <c r="C39" s="3">
        <v>3</v>
      </c>
      <c r="D39" s="3">
        <v>2</v>
      </c>
      <c r="E39" s="5">
        <f t="shared" si="0"/>
        <v>1</v>
      </c>
      <c r="F39" s="3" t="str">
        <f t="shared" si="2"/>
        <v>Critical</v>
      </c>
      <c r="G39" s="5" t="str">
        <f t="shared" si="1"/>
        <v>Yes</v>
      </c>
    </row>
    <row r="40" spans="1:7">
      <c r="A40" s="23" t="s">
        <v>55</v>
      </c>
      <c r="B40" s="3" t="s">
        <v>7</v>
      </c>
      <c r="C40" s="3">
        <v>2</v>
      </c>
      <c r="D40" s="3">
        <v>1</v>
      </c>
      <c r="E40" s="5">
        <f t="shared" si="0"/>
        <v>1</v>
      </c>
      <c r="F40" s="3" t="str">
        <f t="shared" si="2"/>
        <v>Critical</v>
      </c>
      <c r="G40" s="5" t="str">
        <f t="shared" si="1"/>
        <v>Yes</v>
      </c>
    </row>
    <row r="41" spans="1:7">
      <c r="A41" s="23" t="s">
        <v>56</v>
      </c>
      <c r="B41" s="3" t="s">
        <v>8</v>
      </c>
      <c r="C41" s="3">
        <v>7</v>
      </c>
      <c r="D41" s="3">
        <v>6</v>
      </c>
      <c r="E41" s="5">
        <f t="shared" si="0"/>
        <v>1</v>
      </c>
      <c r="F41" s="3" t="str">
        <f t="shared" si="2"/>
        <v>Critical</v>
      </c>
      <c r="G41" s="5" t="str">
        <f t="shared" si="1"/>
        <v>Yes</v>
      </c>
    </row>
    <row r="42" spans="1:7">
      <c r="A42" s="23" t="s">
        <v>57</v>
      </c>
      <c r="B42" s="3" t="s">
        <v>13</v>
      </c>
      <c r="C42" s="3">
        <v>4</v>
      </c>
      <c r="D42" s="3">
        <v>3</v>
      </c>
      <c r="E42" s="5">
        <f t="shared" si="0"/>
        <v>1</v>
      </c>
      <c r="F42" s="3" t="str">
        <f t="shared" si="2"/>
        <v>Critical</v>
      </c>
      <c r="G42" s="5" t="str">
        <f t="shared" si="1"/>
        <v>Yes</v>
      </c>
    </row>
    <row r="43" spans="1:7">
      <c r="A43" s="23" t="s">
        <v>58</v>
      </c>
      <c r="B43" s="3" t="s">
        <v>8</v>
      </c>
      <c r="C43" s="3">
        <v>3</v>
      </c>
      <c r="D43" s="3">
        <v>2</v>
      </c>
      <c r="E43" s="5">
        <f t="shared" si="0"/>
        <v>1</v>
      </c>
      <c r="F43" s="3" t="str">
        <f t="shared" si="2"/>
        <v>Critical</v>
      </c>
      <c r="G43" s="5" t="str">
        <f t="shared" si="1"/>
        <v>Yes</v>
      </c>
    </row>
    <row r="44" spans="1:7">
      <c r="A44" s="23" t="s">
        <v>59</v>
      </c>
      <c r="B44" s="3" t="s">
        <v>6</v>
      </c>
      <c r="C44" s="3">
        <v>4</v>
      </c>
      <c r="D44" s="3">
        <v>3</v>
      </c>
      <c r="E44" s="5">
        <f t="shared" si="0"/>
        <v>1</v>
      </c>
      <c r="F44" s="3" t="str">
        <f t="shared" si="2"/>
        <v>Critical</v>
      </c>
      <c r="G44" s="5" t="str">
        <f t="shared" si="1"/>
        <v>Yes</v>
      </c>
    </row>
    <row r="45" spans="1:7">
      <c r="A45" s="23" t="s">
        <v>60</v>
      </c>
      <c r="B45" s="3" t="s">
        <v>12</v>
      </c>
      <c r="C45" s="3">
        <v>7</v>
      </c>
      <c r="D45" s="3">
        <v>6</v>
      </c>
      <c r="E45" s="5">
        <f t="shared" si="0"/>
        <v>1</v>
      </c>
      <c r="F45" s="3" t="str">
        <f t="shared" si="2"/>
        <v>Critical</v>
      </c>
      <c r="G45" s="5" t="str">
        <f t="shared" si="1"/>
        <v>Yes</v>
      </c>
    </row>
    <row r="46" spans="1:7">
      <c r="A46" s="23" t="s">
        <v>61</v>
      </c>
      <c r="B46" s="3" t="s">
        <v>15</v>
      </c>
      <c r="C46" s="3">
        <v>7</v>
      </c>
      <c r="D46" s="3">
        <v>6</v>
      </c>
      <c r="E46" s="5">
        <f t="shared" si="0"/>
        <v>1</v>
      </c>
      <c r="F46" s="3" t="str">
        <f t="shared" si="2"/>
        <v>Critical</v>
      </c>
      <c r="G46" s="5" t="str">
        <f t="shared" si="1"/>
        <v>Yes</v>
      </c>
    </row>
    <row r="47" spans="1:7">
      <c r="A47" s="23" t="s">
        <v>62</v>
      </c>
      <c r="B47" s="3" t="s">
        <v>15</v>
      </c>
      <c r="C47" s="3">
        <v>3</v>
      </c>
      <c r="D47" s="3">
        <v>2</v>
      </c>
      <c r="E47" s="5">
        <f t="shared" si="0"/>
        <v>1</v>
      </c>
      <c r="F47" s="3" t="str">
        <f t="shared" si="2"/>
        <v>Critical</v>
      </c>
      <c r="G47" s="5" t="str">
        <f t="shared" si="1"/>
        <v>Yes</v>
      </c>
    </row>
    <row r="48" spans="1:7">
      <c r="A48" s="23" t="s">
        <v>63</v>
      </c>
      <c r="B48" s="3" t="s">
        <v>11</v>
      </c>
      <c r="C48" s="3">
        <v>6</v>
      </c>
      <c r="D48" s="3">
        <v>5</v>
      </c>
      <c r="E48" s="5">
        <f t="shared" si="0"/>
        <v>1</v>
      </c>
      <c r="F48" s="3" t="str">
        <f t="shared" si="2"/>
        <v>Critical</v>
      </c>
      <c r="G48" s="5" t="str">
        <f t="shared" si="1"/>
        <v>Yes</v>
      </c>
    </row>
    <row r="49" spans="1:7">
      <c r="A49" s="23" t="s">
        <v>64</v>
      </c>
      <c r="B49" s="3" t="s">
        <v>7</v>
      </c>
      <c r="C49" s="3">
        <v>7</v>
      </c>
      <c r="D49" s="3">
        <v>6</v>
      </c>
      <c r="E49" s="5">
        <f t="shared" si="0"/>
        <v>1</v>
      </c>
      <c r="F49" s="3" t="str">
        <f t="shared" si="2"/>
        <v>Critical</v>
      </c>
      <c r="G49" s="5" t="str">
        <f t="shared" si="1"/>
        <v>Yes</v>
      </c>
    </row>
    <row r="50" spans="1:7">
      <c r="A50" s="23" t="s">
        <v>65</v>
      </c>
      <c r="B50" s="3" t="s">
        <v>6</v>
      </c>
      <c r="C50" s="3">
        <v>1</v>
      </c>
      <c r="D50" s="3">
        <v>1</v>
      </c>
      <c r="E50" s="5">
        <f t="shared" si="0"/>
        <v>0</v>
      </c>
      <c r="F50" s="3" t="str">
        <f t="shared" si="2"/>
        <v>Critical</v>
      </c>
      <c r="G50" s="5" t="str">
        <f t="shared" si="1"/>
        <v>Yes</v>
      </c>
    </row>
    <row r="51" spans="1:7">
      <c r="A51" s="23" t="s">
        <v>66</v>
      </c>
      <c r="B51" s="3" t="s">
        <v>13</v>
      </c>
      <c r="C51" s="3">
        <v>3</v>
      </c>
      <c r="D51" s="3">
        <v>3</v>
      </c>
      <c r="E51" s="5">
        <f t="shared" si="0"/>
        <v>0</v>
      </c>
      <c r="F51" s="3" t="str">
        <f t="shared" si="2"/>
        <v>Critical</v>
      </c>
      <c r="G51" s="5" t="str">
        <f t="shared" si="1"/>
        <v>Yes</v>
      </c>
    </row>
    <row r="52" spans="1:7">
      <c r="A52" s="23" t="s">
        <v>67</v>
      </c>
      <c r="B52" s="3" t="s">
        <v>13</v>
      </c>
      <c r="C52" s="3">
        <v>3</v>
      </c>
      <c r="D52" s="3">
        <v>3</v>
      </c>
      <c r="E52" s="5">
        <f t="shared" si="0"/>
        <v>0</v>
      </c>
      <c r="F52" s="3" t="str">
        <f t="shared" si="2"/>
        <v>Critical</v>
      </c>
      <c r="G52" s="5" t="str">
        <f t="shared" si="1"/>
        <v>Yes</v>
      </c>
    </row>
    <row r="53" spans="1:7">
      <c r="A53" s="23" t="s">
        <v>68</v>
      </c>
      <c r="B53" s="3" t="s">
        <v>9</v>
      </c>
      <c r="C53" s="3">
        <v>6</v>
      </c>
      <c r="D53" s="3">
        <v>6</v>
      </c>
      <c r="E53" s="5">
        <f t="shared" si="0"/>
        <v>0</v>
      </c>
      <c r="F53" s="3" t="str">
        <f t="shared" si="2"/>
        <v>Critical</v>
      </c>
      <c r="G53" s="5" t="str">
        <f t="shared" si="1"/>
        <v>Yes</v>
      </c>
    </row>
    <row r="54" spans="1:7">
      <c r="A54" s="23" t="s">
        <v>69</v>
      </c>
      <c r="B54" s="3" t="s">
        <v>8</v>
      </c>
      <c r="C54" s="3">
        <v>3</v>
      </c>
      <c r="D54" s="3">
        <v>3</v>
      </c>
      <c r="E54" s="5">
        <f t="shared" si="0"/>
        <v>0</v>
      </c>
      <c r="F54" s="3" t="str">
        <f t="shared" si="2"/>
        <v>Critical</v>
      </c>
      <c r="G54" s="5" t="str">
        <f t="shared" si="1"/>
        <v>Yes</v>
      </c>
    </row>
    <row r="55" spans="1:7">
      <c r="A55" s="23" t="s">
        <v>70</v>
      </c>
      <c r="B55" s="3" t="s">
        <v>9</v>
      </c>
      <c r="C55" s="3">
        <v>6</v>
      </c>
      <c r="D55" s="3">
        <v>6</v>
      </c>
      <c r="E55" s="5">
        <f t="shared" si="0"/>
        <v>0</v>
      </c>
      <c r="F55" s="3" t="str">
        <f t="shared" si="2"/>
        <v>Critical</v>
      </c>
      <c r="G55" s="5" t="str">
        <f t="shared" si="1"/>
        <v>Yes</v>
      </c>
    </row>
    <row r="56" spans="1:7">
      <c r="A56" s="23" t="s">
        <v>71</v>
      </c>
      <c r="B56" s="3" t="s">
        <v>10</v>
      </c>
      <c r="C56" s="3">
        <v>7</v>
      </c>
      <c r="D56" s="3">
        <v>7</v>
      </c>
      <c r="E56" s="5">
        <f t="shared" si="0"/>
        <v>0</v>
      </c>
      <c r="F56" s="3" t="str">
        <f t="shared" si="2"/>
        <v>Critical</v>
      </c>
      <c r="G56" s="5" t="str">
        <f t="shared" si="1"/>
        <v>Yes</v>
      </c>
    </row>
    <row r="57" spans="1:7">
      <c r="A57" s="23" t="s">
        <v>72</v>
      </c>
      <c r="B57" s="3" t="s">
        <v>8</v>
      </c>
      <c r="C57" s="3">
        <v>7</v>
      </c>
      <c r="D57" s="3">
        <v>7</v>
      </c>
      <c r="E57" s="5">
        <f t="shared" si="0"/>
        <v>0</v>
      </c>
      <c r="F57" s="3" t="str">
        <f t="shared" si="2"/>
        <v>Critical</v>
      </c>
      <c r="G57" s="5" t="str">
        <f t="shared" si="1"/>
        <v>Yes</v>
      </c>
    </row>
    <row r="58" spans="1:7">
      <c r="A58" s="23" t="s">
        <v>73</v>
      </c>
      <c r="B58" s="3" t="s">
        <v>9</v>
      </c>
      <c r="C58" s="3">
        <v>4</v>
      </c>
      <c r="D58" s="3">
        <v>4</v>
      </c>
      <c r="E58" s="5">
        <f t="shared" si="0"/>
        <v>0</v>
      </c>
      <c r="F58" s="3" t="str">
        <f t="shared" si="2"/>
        <v>Critical</v>
      </c>
      <c r="G58" s="5" t="str">
        <f t="shared" si="1"/>
        <v>Yes</v>
      </c>
    </row>
    <row r="59" spans="1:7">
      <c r="A59" s="23" t="s">
        <v>74</v>
      </c>
      <c r="B59" s="3" t="s">
        <v>12</v>
      </c>
      <c r="C59" s="3">
        <v>3</v>
      </c>
      <c r="D59" s="3">
        <v>3</v>
      </c>
      <c r="E59" s="5">
        <f t="shared" si="0"/>
        <v>0</v>
      </c>
      <c r="F59" s="3" t="str">
        <f t="shared" si="2"/>
        <v>Critical</v>
      </c>
      <c r="G59" s="5" t="str">
        <f t="shared" si="1"/>
        <v>Yes</v>
      </c>
    </row>
    <row r="60" spans="1:7">
      <c r="A60" s="23" t="s">
        <v>75</v>
      </c>
      <c r="B60" s="3" t="s">
        <v>7</v>
      </c>
      <c r="C60" s="3">
        <v>4</v>
      </c>
      <c r="D60" s="3">
        <v>4</v>
      </c>
      <c r="E60" s="5">
        <f t="shared" si="0"/>
        <v>0</v>
      </c>
      <c r="F60" s="3" t="str">
        <f t="shared" si="2"/>
        <v>Critical</v>
      </c>
      <c r="G60" s="5" t="str">
        <f t="shared" si="1"/>
        <v>Yes</v>
      </c>
    </row>
    <row r="61" spans="1:7">
      <c r="A61" s="23" t="s">
        <v>76</v>
      </c>
      <c r="B61" s="3" t="s">
        <v>8</v>
      </c>
      <c r="C61" s="3">
        <v>4</v>
      </c>
      <c r="D61" s="3">
        <v>4</v>
      </c>
      <c r="E61" s="5">
        <f t="shared" si="0"/>
        <v>0</v>
      </c>
      <c r="F61" s="3" t="str">
        <f t="shared" si="2"/>
        <v>Critical</v>
      </c>
      <c r="G61" s="5" t="str">
        <f t="shared" si="1"/>
        <v>Yes</v>
      </c>
    </row>
    <row r="62" spans="1:7">
      <c r="A62" s="23" t="s">
        <v>77</v>
      </c>
      <c r="B62" s="3" t="s">
        <v>6</v>
      </c>
      <c r="C62" s="3">
        <v>6</v>
      </c>
      <c r="D62" s="3">
        <v>6</v>
      </c>
      <c r="E62" s="5">
        <f t="shared" si="0"/>
        <v>0</v>
      </c>
      <c r="F62" s="3" t="str">
        <f t="shared" si="2"/>
        <v>Critical</v>
      </c>
      <c r="G62" s="5" t="str">
        <f t="shared" si="1"/>
        <v>Yes</v>
      </c>
    </row>
    <row r="63" spans="1:7">
      <c r="A63" s="23" t="s">
        <v>78</v>
      </c>
      <c r="B63" s="3" t="s">
        <v>9</v>
      </c>
      <c r="C63" s="3">
        <v>6</v>
      </c>
      <c r="D63" s="3">
        <v>6</v>
      </c>
      <c r="E63" s="5">
        <f t="shared" si="0"/>
        <v>0</v>
      </c>
      <c r="F63" s="3" t="str">
        <f t="shared" si="2"/>
        <v>Critical</v>
      </c>
      <c r="G63" s="5" t="str">
        <f t="shared" si="1"/>
        <v>Yes</v>
      </c>
    </row>
    <row r="64" spans="1:7">
      <c r="A64" s="23" t="s">
        <v>79</v>
      </c>
      <c r="B64" s="3" t="s">
        <v>6</v>
      </c>
      <c r="C64" s="3">
        <v>5</v>
      </c>
      <c r="D64" s="3">
        <v>5</v>
      </c>
      <c r="E64" s="5">
        <f t="shared" si="0"/>
        <v>0</v>
      </c>
      <c r="F64" s="3" t="str">
        <f t="shared" si="2"/>
        <v>Critical</v>
      </c>
      <c r="G64" s="5" t="str">
        <f t="shared" si="1"/>
        <v>Yes</v>
      </c>
    </row>
    <row r="65" spans="1:7">
      <c r="A65" s="23" t="s">
        <v>80</v>
      </c>
      <c r="B65" s="3" t="s">
        <v>7</v>
      </c>
      <c r="C65" s="3">
        <v>2</v>
      </c>
      <c r="D65" s="3">
        <v>2</v>
      </c>
      <c r="E65" s="5">
        <f t="shared" si="0"/>
        <v>0</v>
      </c>
      <c r="F65" s="3" t="str">
        <f t="shared" si="2"/>
        <v>Critical</v>
      </c>
      <c r="G65" s="5" t="str">
        <f t="shared" si="1"/>
        <v>Yes</v>
      </c>
    </row>
    <row r="66" spans="1:7">
      <c r="A66" s="23" t="s">
        <v>81</v>
      </c>
      <c r="B66" s="3" t="s">
        <v>7</v>
      </c>
      <c r="C66" s="3">
        <v>4</v>
      </c>
      <c r="D66" s="3">
        <v>4</v>
      </c>
      <c r="E66" s="5">
        <f t="shared" ref="E66:E129" si="3">C66-D66</f>
        <v>0</v>
      </c>
      <c r="F66" s="3" t="str">
        <f t="shared" si="2"/>
        <v>Critical</v>
      </c>
      <c r="G66" s="5" t="str">
        <f t="shared" ref="G66:G129" si="4">IF(F66="critical","Yes","No")</f>
        <v>Yes</v>
      </c>
    </row>
    <row r="67" spans="1:7">
      <c r="A67" s="23" t="s">
        <v>82</v>
      </c>
      <c r="B67" s="3" t="s">
        <v>11</v>
      </c>
      <c r="C67" s="3">
        <v>1</v>
      </c>
      <c r="D67" s="3">
        <v>1</v>
      </c>
      <c r="E67" s="5">
        <f t="shared" si="3"/>
        <v>0</v>
      </c>
      <c r="F67" s="3" t="str">
        <f t="shared" ref="F67:F130" si="5">IF(E67&lt;=2,"Critical",IF(E67&lt;=4,"Low","Healthy"))</f>
        <v>Critical</v>
      </c>
      <c r="G67" s="5" t="str">
        <f t="shared" si="4"/>
        <v>Yes</v>
      </c>
    </row>
    <row r="68" spans="1:7">
      <c r="A68" s="23" t="s">
        <v>83</v>
      </c>
      <c r="B68" s="3" t="s">
        <v>9</v>
      </c>
      <c r="C68" s="3">
        <v>3</v>
      </c>
      <c r="D68" s="3">
        <v>3</v>
      </c>
      <c r="E68" s="5">
        <f t="shared" si="3"/>
        <v>0</v>
      </c>
      <c r="F68" s="3" t="str">
        <f t="shared" si="5"/>
        <v>Critical</v>
      </c>
      <c r="G68" s="5" t="str">
        <f t="shared" si="4"/>
        <v>Yes</v>
      </c>
    </row>
    <row r="69" spans="1:7">
      <c r="A69" s="23" t="s">
        <v>84</v>
      </c>
      <c r="B69" s="3" t="s">
        <v>9</v>
      </c>
      <c r="C69" s="3">
        <v>3</v>
      </c>
      <c r="D69" s="3">
        <v>3</v>
      </c>
      <c r="E69" s="5">
        <f t="shared" si="3"/>
        <v>0</v>
      </c>
      <c r="F69" s="3" t="str">
        <f t="shared" si="5"/>
        <v>Critical</v>
      </c>
      <c r="G69" s="5" t="str">
        <f t="shared" si="4"/>
        <v>Yes</v>
      </c>
    </row>
    <row r="70" spans="1:7">
      <c r="A70" s="23" t="s">
        <v>85</v>
      </c>
      <c r="B70" s="3" t="s">
        <v>9</v>
      </c>
      <c r="C70" s="3">
        <v>7</v>
      </c>
      <c r="D70" s="3">
        <v>7</v>
      </c>
      <c r="E70" s="5">
        <f t="shared" si="3"/>
        <v>0</v>
      </c>
      <c r="F70" s="3" t="str">
        <f t="shared" si="5"/>
        <v>Critical</v>
      </c>
      <c r="G70" s="5" t="str">
        <f t="shared" si="4"/>
        <v>Yes</v>
      </c>
    </row>
    <row r="71" spans="1:7">
      <c r="A71" s="23" t="s">
        <v>86</v>
      </c>
      <c r="B71" s="3" t="s">
        <v>9</v>
      </c>
      <c r="C71" s="3">
        <v>6</v>
      </c>
      <c r="D71" s="3">
        <v>5</v>
      </c>
      <c r="E71" s="5">
        <f t="shared" si="3"/>
        <v>1</v>
      </c>
      <c r="F71" s="3" t="str">
        <f t="shared" si="5"/>
        <v>Critical</v>
      </c>
      <c r="G71" s="5" t="str">
        <f t="shared" si="4"/>
        <v>Yes</v>
      </c>
    </row>
    <row r="72" spans="1:7">
      <c r="A72" s="23" t="s">
        <v>87</v>
      </c>
      <c r="B72" s="3" t="s">
        <v>6</v>
      </c>
      <c r="C72" s="3">
        <v>4</v>
      </c>
      <c r="D72" s="3">
        <v>3</v>
      </c>
      <c r="E72" s="5">
        <f t="shared" si="3"/>
        <v>1</v>
      </c>
      <c r="F72" s="3" t="str">
        <f t="shared" si="5"/>
        <v>Critical</v>
      </c>
      <c r="G72" s="5" t="str">
        <f t="shared" si="4"/>
        <v>Yes</v>
      </c>
    </row>
    <row r="73" spans="1:7">
      <c r="A73" s="23" t="s">
        <v>88</v>
      </c>
      <c r="B73" s="3" t="s">
        <v>9</v>
      </c>
      <c r="C73" s="3">
        <v>6</v>
      </c>
      <c r="D73" s="3">
        <v>5</v>
      </c>
      <c r="E73" s="5">
        <f t="shared" si="3"/>
        <v>1</v>
      </c>
      <c r="F73" s="3" t="str">
        <f t="shared" si="5"/>
        <v>Critical</v>
      </c>
      <c r="G73" s="5" t="str">
        <f t="shared" si="4"/>
        <v>Yes</v>
      </c>
    </row>
    <row r="74" spans="1:7">
      <c r="A74" s="23" t="s">
        <v>89</v>
      </c>
      <c r="B74" s="3" t="s">
        <v>16</v>
      </c>
      <c r="C74" s="3">
        <v>4</v>
      </c>
      <c r="D74" s="3">
        <v>3</v>
      </c>
      <c r="E74" s="5">
        <f t="shared" si="3"/>
        <v>1</v>
      </c>
      <c r="F74" s="3" t="str">
        <f t="shared" si="5"/>
        <v>Critical</v>
      </c>
      <c r="G74" s="5" t="str">
        <f t="shared" si="4"/>
        <v>Yes</v>
      </c>
    </row>
    <row r="75" spans="1:7">
      <c r="A75" s="23" t="s">
        <v>90</v>
      </c>
      <c r="B75" s="3" t="s">
        <v>6</v>
      </c>
      <c r="C75" s="3">
        <v>5</v>
      </c>
      <c r="D75" s="3">
        <v>4</v>
      </c>
      <c r="E75" s="5">
        <f t="shared" si="3"/>
        <v>1</v>
      </c>
      <c r="F75" s="3" t="str">
        <f t="shared" si="5"/>
        <v>Critical</v>
      </c>
      <c r="G75" s="5" t="str">
        <f t="shared" si="4"/>
        <v>Yes</v>
      </c>
    </row>
    <row r="76" spans="1:7">
      <c r="A76" s="23" t="s">
        <v>91</v>
      </c>
      <c r="B76" s="3" t="s">
        <v>9</v>
      </c>
      <c r="C76" s="3">
        <v>4</v>
      </c>
      <c r="D76" s="3">
        <v>3</v>
      </c>
      <c r="E76" s="5">
        <f t="shared" si="3"/>
        <v>1</v>
      </c>
      <c r="F76" s="3" t="str">
        <f t="shared" si="5"/>
        <v>Critical</v>
      </c>
      <c r="G76" s="5" t="str">
        <f t="shared" si="4"/>
        <v>Yes</v>
      </c>
    </row>
    <row r="77" spans="1:7">
      <c r="A77" s="23" t="s">
        <v>92</v>
      </c>
      <c r="B77" s="3" t="s">
        <v>12</v>
      </c>
      <c r="C77" s="3">
        <v>8</v>
      </c>
      <c r="D77" s="3">
        <v>7</v>
      </c>
      <c r="E77" s="5">
        <f t="shared" si="3"/>
        <v>1</v>
      </c>
      <c r="F77" s="3" t="str">
        <f t="shared" si="5"/>
        <v>Critical</v>
      </c>
      <c r="G77" s="5" t="str">
        <f t="shared" si="4"/>
        <v>Yes</v>
      </c>
    </row>
    <row r="78" spans="1:7">
      <c r="A78" s="23" t="s">
        <v>93</v>
      </c>
      <c r="B78" s="3" t="s">
        <v>7</v>
      </c>
      <c r="C78" s="3">
        <v>2</v>
      </c>
      <c r="D78" s="3">
        <v>1</v>
      </c>
      <c r="E78" s="5">
        <f t="shared" si="3"/>
        <v>1</v>
      </c>
      <c r="F78" s="3" t="str">
        <f t="shared" si="5"/>
        <v>Critical</v>
      </c>
      <c r="G78" s="5" t="str">
        <f t="shared" si="4"/>
        <v>Yes</v>
      </c>
    </row>
    <row r="79" spans="1:7">
      <c r="A79" s="23" t="s">
        <v>94</v>
      </c>
      <c r="B79" s="3" t="s">
        <v>7</v>
      </c>
      <c r="C79" s="3">
        <v>6</v>
      </c>
      <c r="D79" s="3">
        <v>5</v>
      </c>
      <c r="E79" s="5">
        <f t="shared" si="3"/>
        <v>1</v>
      </c>
      <c r="F79" s="3" t="str">
        <f t="shared" si="5"/>
        <v>Critical</v>
      </c>
      <c r="G79" s="5" t="str">
        <f t="shared" si="4"/>
        <v>Yes</v>
      </c>
    </row>
    <row r="80" spans="1:7">
      <c r="A80" s="23" t="s">
        <v>95</v>
      </c>
      <c r="B80" s="3" t="s">
        <v>16</v>
      </c>
      <c r="C80" s="3">
        <v>4</v>
      </c>
      <c r="D80" s="3">
        <v>3</v>
      </c>
      <c r="E80" s="5">
        <f t="shared" si="3"/>
        <v>1</v>
      </c>
      <c r="F80" s="3" t="str">
        <f t="shared" si="5"/>
        <v>Critical</v>
      </c>
      <c r="G80" s="5" t="str">
        <f t="shared" si="4"/>
        <v>Yes</v>
      </c>
    </row>
    <row r="81" spans="1:7">
      <c r="A81" s="23" t="s">
        <v>96</v>
      </c>
      <c r="B81" s="3" t="s">
        <v>15</v>
      </c>
      <c r="C81" s="3">
        <v>8</v>
      </c>
      <c r="D81" s="3">
        <v>7</v>
      </c>
      <c r="E81" s="5">
        <f t="shared" si="3"/>
        <v>1</v>
      </c>
      <c r="F81" s="3" t="str">
        <f t="shared" si="5"/>
        <v>Critical</v>
      </c>
      <c r="G81" s="5" t="str">
        <f t="shared" si="4"/>
        <v>Yes</v>
      </c>
    </row>
    <row r="82" spans="1:7">
      <c r="A82" s="23" t="s">
        <v>97</v>
      </c>
      <c r="B82" s="3" t="s">
        <v>7</v>
      </c>
      <c r="C82" s="3">
        <v>4</v>
      </c>
      <c r="D82" s="3">
        <v>3</v>
      </c>
      <c r="E82" s="5">
        <f t="shared" si="3"/>
        <v>1</v>
      </c>
      <c r="F82" s="3" t="str">
        <f t="shared" si="5"/>
        <v>Critical</v>
      </c>
      <c r="G82" s="5" t="str">
        <f t="shared" si="4"/>
        <v>Yes</v>
      </c>
    </row>
    <row r="83" spans="1:7">
      <c r="A83" s="23" t="s">
        <v>98</v>
      </c>
      <c r="B83" s="3" t="s">
        <v>9</v>
      </c>
      <c r="C83" s="3">
        <v>2</v>
      </c>
      <c r="D83" s="3">
        <v>1</v>
      </c>
      <c r="E83" s="5">
        <f t="shared" si="3"/>
        <v>1</v>
      </c>
      <c r="F83" s="3" t="str">
        <f t="shared" si="5"/>
        <v>Critical</v>
      </c>
      <c r="G83" s="5" t="str">
        <f t="shared" si="4"/>
        <v>Yes</v>
      </c>
    </row>
    <row r="84" spans="1:7">
      <c r="A84" s="23" t="s">
        <v>99</v>
      </c>
      <c r="B84" s="3" t="s">
        <v>6</v>
      </c>
      <c r="C84" s="3">
        <v>2</v>
      </c>
      <c r="D84" s="3">
        <v>1</v>
      </c>
      <c r="E84" s="5">
        <f t="shared" si="3"/>
        <v>1</v>
      </c>
      <c r="F84" s="3" t="str">
        <f t="shared" si="5"/>
        <v>Critical</v>
      </c>
      <c r="G84" s="5" t="str">
        <f t="shared" si="4"/>
        <v>Yes</v>
      </c>
    </row>
    <row r="85" spans="1:7">
      <c r="A85" s="23" t="s">
        <v>100</v>
      </c>
      <c r="B85" s="3" t="s">
        <v>9</v>
      </c>
      <c r="C85" s="3">
        <v>6</v>
      </c>
      <c r="D85" s="3">
        <v>5</v>
      </c>
      <c r="E85" s="5">
        <f t="shared" si="3"/>
        <v>1</v>
      </c>
      <c r="F85" s="3" t="str">
        <f t="shared" si="5"/>
        <v>Critical</v>
      </c>
      <c r="G85" s="5" t="str">
        <f t="shared" si="4"/>
        <v>Yes</v>
      </c>
    </row>
    <row r="86" spans="1:7">
      <c r="A86" s="23" t="s">
        <v>101</v>
      </c>
      <c r="B86" s="3" t="s">
        <v>9</v>
      </c>
      <c r="C86" s="3">
        <v>2</v>
      </c>
      <c r="D86" s="3">
        <v>1</v>
      </c>
      <c r="E86" s="5">
        <f t="shared" si="3"/>
        <v>1</v>
      </c>
      <c r="F86" s="3" t="str">
        <f t="shared" si="5"/>
        <v>Critical</v>
      </c>
      <c r="G86" s="5" t="str">
        <f t="shared" si="4"/>
        <v>Yes</v>
      </c>
    </row>
    <row r="87" spans="1:7">
      <c r="A87" s="23" t="s">
        <v>102</v>
      </c>
      <c r="B87" s="3" t="s">
        <v>13</v>
      </c>
      <c r="C87" s="3">
        <v>7</v>
      </c>
      <c r="D87" s="3">
        <v>6</v>
      </c>
      <c r="E87" s="5">
        <f t="shared" si="3"/>
        <v>1</v>
      </c>
      <c r="F87" s="3" t="str">
        <f t="shared" si="5"/>
        <v>Critical</v>
      </c>
      <c r="G87" s="5" t="str">
        <f t="shared" si="4"/>
        <v>Yes</v>
      </c>
    </row>
    <row r="88" spans="1:7">
      <c r="A88" s="23" t="s">
        <v>103</v>
      </c>
      <c r="B88" s="3" t="s">
        <v>9</v>
      </c>
      <c r="C88" s="3">
        <v>3</v>
      </c>
      <c r="D88" s="3">
        <v>2</v>
      </c>
      <c r="E88" s="5">
        <f t="shared" si="3"/>
        <v>1</v>
      </c>
      <c r="F88" s="3" t="str">
        <f t="shared" si="5"/>
        <v>Critical</v>
      </c>
      <c r="G88" s="5" t="str">
        <f t="shared" si="4"/>
        <v>Yes</v>
      </c>
    </row>
    <row r="89" spans="1:7">
      <c r="A89" s="23" t="s">
        <v>104</v>
      </c>
      <c r="B89" s="3" t="s">
        <v>9</v>
      </c>
      <c r="C89" s="3">
        <v>2</v>
      </c>
      <c r="D89" s="3">
        <v>1</v>
      </c>
      <c r="E89" s="5">
        <f t="shared" si="3"/>
        <v>1</v>
      </c>
      <c r="F89" s="3" t="str">
        <f t="shared" si="5"/>
        <v>Critical</v>
      </c>
      <c r="G89" s="5" t="str">
        <f t="shared" si="4"/>
        <v>Yes</v>
      </c>
    </row>
    <row r="90" spans="1:7">
      <c r="A90" s="23" t="s">
        <v>105</v>
      </c>
      <c r="B90" s="3" t="s">
        <v>13</v>
      </c>
      <c r="C90" s="3">
        <v>8</v>
      </c>
      <c r="D90" s="3">
        <v>7</v>
      </c>
      <c r="E90" s="5">
        <f t="shared" si="3"/>
        <v>1</v>
      </c>
      <c r="F90" s="3" t="str">
        <f t="shared" si="5"/>
        <v>Critical</v>
      </c>
      <c r="G90" s="5" t="str">
        <f t="shared" si="4"/>
        <v>Yes</v>
      </c>
    </row>
    <row r="91" spans="1:7">
      <c r="A91" s="23" t="s">
        <v>106</v>
      </c>
      <c r="B91" s="3" t="s">
        <v>6</v>
      </c>
      <c r="C91" s="3">
        <v>5</v>
      </c>
      <c r="D91" s="3">
        <v>3</v>
      </c>
      <c r="E91" s="5">
        <f t="shared" si="3"/>
        <v>2</v>
      </c>
      <c r="F91" s="3" t="str">
        <f t="shared" si="5"/>
        <v>Critical</v>
      </c>
      <c r="G91" s="5" t="str">
        <f t="shared" si="4"/>
        <v>Yes</v>
      </c>
    </row>
    <row r="92" spans="1:7">
      <c r="A92" s="23" t="s">
        <v>107</v>
      </c>
      <c r="B92" s="3" t="s">
        <v>9</v>
      </c>
      <c r="C92" s="3">
        <v>3</v>
      </c>
      <c r="D92" s="3">
        <v>1</v>
      </c>
      <c r="E92" s="5">
        <f t="shared" si="3"/>
        <v>2</v>
      </c>
      <c r="F92" s="3" t="str">
        <f t="shared" si="5"/>
        <v>Critical</v>
      </c>
      <c r="G92" s="5" t="str">
        <f t="shared" si="4"/>
        <v>Yes</v>
      </c>
    </row>
    <row r="93" spans="1:7">
      <c r="A93" s="23" t="s">
        <v>108</v>
      </c>
      <c r="B93" s="3" t="s">
        <v>12</v>
      </c>
      <c r="C93" s="3">
        <v>3</v>
      </c>
      <c r="D93" s="3">
        <v>1</v>
      </c>
      <c r="E93" s="5">
        <f t="shared" si="3"/>
        <v>2</v>
      </c>
      <c r="F93" s="3" t="str">
        <f t="shared" si="5"/>
        <v>Critical</v>
      </c>
      <c r="G93" s="5" t="str">
        <f t="shared" si="4"/>
        <v>Yes</v>
      </c>
    </row>
    <row r="94" spans="1:7">
      <c r="A94" s="23" t="s">
        <v>109</v>
      </c>
      <c r="B94" s="3" t="s">
        <v>8</v>
      </c>
      <c r="C94" s="3">
        <v>8</v>
      </c>
      <c r="D94" s="3">
        <v>6</v>
      </c>
      <c r="E94" s="5">
        <f t="shared" si="3"/>
        <v>2</v>
      </c>
      <c r="F94" s="3" t="str">
        <f t="shared" si="5"/>
        <v>Critical</v>
      </c>
      <c r="G94" s="5" t="str">
        <f t="shared" si="4"/>
        <v>Yes</v>
      </c>
    </row>
    <row r="95" spans="1:7">
      <c r="A95" s="23" t="s">
        <v>110</v>
      </c>
      <c r="B95" s="3" t="s">
        <v>13</v>
      </c>
      <c r="C95" s="3">
        <v>3</v>
      </c>
      <c r="D95" s="3">
        <v>1</v>
      </c>
      <c r="E95" s="5">
        <f t="shared" si="3"/>
        <v>2</v>
      </c>
      <c r="F95" s="3" t="str">
        <f t="shared" si="5"/>
        <v>Critical</v>
      </c>
      <c r="G95" s="5" t="str">
        <f t="shared" si="4"/>
        <v>Yes</v>
      </c>
    </row>
    <row r="96" spans="1:7">
      <c r="A96" s="23" t="s">
        <v>111</v>
      </c>
      <c r="B96" s="3" t="s">
        <v>6</v>
      </c>
      <c r="C96" s="3">
        <v>3</v>
      </c>
      <c r="D96" s="3">
        <v>1</v>
      </c>
      <c r="E96" s="5">
        <f t="shared" si="3"/>
        <v>2</v>
      </c>
      <c r="F96" s="3" t="str">
        <f t="shared" si="5"/>
        <v>Critical</v>
      </c>
      <c r="G96" s="5" t="str">
        <f t="shared" si="4"/>
        <v>Yes</v>
      </c>
    </row>
    <row r="97" spans="1:7">
      <c r="A97" s="23" t="s">
        <v>112</v>
      </c>
      <c r="B97" s="3" t="s">
        <v>6</v>
      </c>
      <c r="C97" s="3">
        <v>7</v>
      </c>
      <c r="D97" s="3">
        <v>5</v>
      </c>
      <c r="E97" s="5">
        <f t="shared" si="3"/>
        <v>2</v>
      </c>
      <c r="F97" s="3" t="str">
        <f t="shared" si="5"/>
        <v>Critical</v>
      </c>
      <c r="G97" s="5" t="str">
        <f t="shared" si="4"/>
        <v>Yes</v>
      </c>
    </row>
    <row r="98" spans="1:7">
      <c r="A98" s="23" t="s">
        <v>113</v>
      </c>
      <c r="B98" s="3" t="s">
        <v>13</v>
      </c>
      <c r="C98" s="3">
        <v>7</v>
      </c>
      <c r="D98" s="3">
        <v>5</v>
      </c>
      <c r="E98" s="5">
        <f t="shared" si="3"/>
        <v>2</v>
      </c>
      <c r="F98" s="3" t="str">
        <f t="shared" si="5"/>
        <v>Critical</v>
      </c>
      <c r="G98" s="5" t="str">
        <f t="shared" si="4"/>
        <v>Yes</v>
      </c>
    </row>
    <row r="99" spans="1:7">
      <c r="A99" s="23" t="s">
        <v>114</v>
      </c>
      <c r="B99" s="3" t="s">
        <v>6</v>
      </c>
      <c r="C99" s="3">
        <v>7</v>
      </c>
      <c r="D99" s="3">
        <v>5</v>
      </c>
      <c r="E99" s="5">
        <f t="shared" si="3"/>
        <v>2</v>
      </c>
      <c r="F99" s="3" t="str">
        <f t="shared" si="5"/>
        <v>Critical</v>
      </c>
      <c r="G99" s="5" t="str">
        <f t="shared" si="4"/>
        <v>Yes</v>
      </c>
    </row>
    <row r="100" spans="1:7">
      <c r="A100" s="23" t="s">
        <v>115</v>
      </c>
      <c r="B100" s="3" t="s">
        <v>9</v>
      </c>
      <c r="C100" s="3">
        <v>3</v>
      </c>
      <c r="D100" s="3">
        <v>1</v>
      </c>
      <c r="E100" s="5">
        <f t="shared" si="3"/>
        <v>2</v>
      </c>
      <c r="F100" s="3" t="str">
        <f t="shared" si="5"/>
        <v>Critical</v>
      </c>
      <c r="G100" s="5" t="str">
        <f t="shared" si="4"/>
        <v>Yes</v>
      </c>
    </row>
    <row r="101" spans="1:7">
      <c r="A101" s="23" t="s">
        <v>116</v>
      </c>
      <c r="B101" s="3" t="s">
        <v>13</v>
      </c>
      <c r="C101" s="3">
        <v>3</v>
      </c>
      <c r="D101" s="3">
        <v>1</v>
      </c>
      <c r="E101" s="5">
        <f t="shared" si="3"/>
        <v>2</v>
      </c>
      <c r="F101" s="3" t="str">
        <f t="shared" si="5"/>
        <v>Critical</v>
      </c>
      <c r="G101" s="5" t="str">
        <f t="shared" si="4"/>
        <v>Yes</v>
      </c>
    </row>
    <row r="102" spans="1:7">
      <c r="A102" s="23" t="s">
        <v>117</v>
      </c>
      <c r="B102" s="3" t="s">
        <v>13</v>
      </c>
      <c r="C102" s="3">
        <v>4</v>
      </c>
      <c r="D102" s="3">
        <v>2</v>
      </c>
      <c r="E102" s="5">
        <f t="shared" si="3"/>
        <v>2</v>
      </c>
      <c r="F102" s="3" t="str">
        <f t="shared" si="5"/>
        <v>Critical</v>
      </c>
      <c r="G102" s="5" t="str">
        <f t="shared" si="4"/>
        <v>Yes</v>
      </c>
    </row>
    <row r="103" spans="1:7">
      <c r="A103" s="23" t="s">
        <v>118</v>
      </c>
      <c r="B103" s="3" t="s">
        <v>10</v>
      </c>
      <c r="C103" s="3">
        <v>5</v>
      </c>
      <c r="D103" s="3">
        <v>3</v>
      </c>
      <c r="E103" s="5">
        <f t="shared" si="3"/>
        <v>2</v>
      </c>
      <c r="F103" s="3" t="str">
        <f t="shared" si="5"/>
        <v>Critical</v>
      </c>
      <c r="G103" s="5" t="str">
        <f t="shared" si="4"/>
        <v>Yes</v>
      </c>
    </row>
    <row r="104" spans="1:7">
      <c r="A104" s="23" t="s">
        <v>119</v>
      </c>
      <c r="B104" s="3" t="s">
        <v>13</v>
      </c>
      <c r="C104" s="3">
        <v>5</v>
      </c>
      <c r="D104" s="3">
        <v>3</v>
      </c>
      <c r="E104" s="5">
        <f t="shared" si="3"/>
        <v>2</v>
      </c>
      <c r="F104" s="3" t="str">
        <f t="shared" si="5"/>
        <v>Critical</v>
      </c>
      <c r="G104" s="5" t="str">
        <f t="shared" si="4"/>
        <v>Yes</v>
      </c>
    </row>
    <row r="105" spans="1:7">
      <c r="A105" s="23" t="s">
        <v>120</v>
      </c>
      <c r="B105" s="3" t="s">
        <v>6</v>
      </c>
      <c r="C105" s="3">
        <v>5</v>
      </c>
      <c r="D105" s="3">
        <v>3</v>
      </c>
      <c r="E105" s="5">
        <f t="shared" si="3"/>
        <v>2</v>
      </c>
      <c r="F105" s="3" t="str">
        <f t="shared" si="5"/>
        <v>Critical</v>
      </c>
      <c r="G105" s="5" t="str">
        <f t="shared" si="4"/>
        <v>Yes</v>
      </c>
    </row>
    <row r="106" spans="1:7">
      <c r="A106" s="23" t="s">
        <v>121</v>
      </c>
      <c r="B106" s="3" t="s">
        <v>6</v>
      </c>
      <c r="C106" s="3">
        <v>9</v>
      </c>
      <c r="D106" s="3">
        <v>7</v>
      </c>
      <c r="E106" s="5">
        <f t="shared" si="3"/>
        <v>2</v>
      </c>
      <c r="F106" s="3" t="str">
        <f t="shared" si="5"/>
        <v>Critical</v>
      </c>
      <c r="G106" s="5" t="str">
        <f t="shared" si="4"/>
        <v>Yes</v>
      </c>
    </row>
    <row r="107" spans="1:7">
      <c r="A107" s="23" t="s">
        <v>122</v>
      </c>
      <c r="B107" s="3" t="s">
        <v>8</v>
      </c>
      <c r="C107" s="3">
        <v>4</v>
      </c>
      <c r="D107" s="3">
        <v>2</v>
      </c>
      <c r="E107" s="5">
        <f t="shared" si="3"/>
        <v>2</v>
      </c>
      <c r="F107" s="3" t="str">
        <f t="shared" si="5"/>
        <v>Critical</v>
      </c>
      <c r="G107" s="5" t="str">
        <f t="shared" si="4"/>
        <v>Yes</v>
      </c>
    </row>
    <row r="108" spans="1:7">
      <c r="A108" s="23" t="s">
        <v>123</v>
      </c>
      <c r="B108" s="3" t="s">
        <v>8</v>
      </c>
      <c r="C108" s="3">
        <v>6</v>
      </c>
      <c r="D108" s="3">
        <v>4</v>
      </c>
      <c r="E108" s="5">
        <f t="shared" si="3"/>
        <v>2</v>
      </c>
      <c r="F108" s="3" t="str">
        <f t="shared" si="5"/>
        <v>Critical</v>
      </c>
      <c r="G108" s="5" t="str">
        <f t="shared" si="4"/>
        <v>Yes</v>
      </c>
    </row>
    <row r="109" spans="1:7">
      <c r="A109" s="23" t="s">
        <v>124</v>
      </c>
      <c r="B109" s="3" t="s">
        <v>9</v>
      </c>
      <c r="C109" s="3">
        <v>7</v>
      </c>
      <c r="D109" s="3">
        <v>5</v>
      </c>
      <c r="E109" s="5">
        <f t="shared" si="3"/>
        <v>2</v>
      </c>
      <c r="F109" s="3" t="str">
        <f t="shared" si="5"/>
        <v>Critical</v>
      </c>
      <c r="G109" s="5" t="str">
        <f t="shared" si="4"/>
        <v>Yes</v>
      </c>
    </row>
    <row r="110" spans="1:7">
      <c r="A110" s="23" t="s">
        <v>125</v>
      </c>
      <c r="B110" s="3" t="s">
        <v>11</v>
      </c>
      <c r="C110" s="3">
        <v>8</v>
      </c>
      <c r="D110" s="3">
        <v>6</v>
      </c>
      <c r="E110" s="5">
        <f t="shared" si="3"/>
        <v>2</v>
      </c>
      <c r="F110" s="3" t="str">
        <f t="shared" si="5"/>
        <v>Critical</v>
      </c>
      <c r="G110" s="5" t="str">
        <f t="shared" si="4"/>
        <v>Yes</v>
      </c>
    </row>
    <row r="111" spans="1:7">
      <c r="A111" s="23" t="s">
        <v>126</v>
      </c>
      <c r="B111" s="3" t="s">
        <v>9</v>
      </c>
      <c r="C111" s="3">
        <v>6</v>
      </c>
      <c r="D111" s="3">
        <v>4</v>
      </c>
      <c r="E111" s="5">
        <f t="shared" si="3"/>
        <v>2</v>
      </c>
      <c r="F111" s="3" t="str">
        <f t="shared" si="5"/>
        <v>Critical</v>
      </c>
      <c r="G111" s="5" t="str">
        <f t="shared" si="4"/>
        <v>Yes</v>
      </c>
    </row>
    <row r="112" spans="1:7">
      <c r="A112" s="23" t="s">
        <v>127</v>
      </c>
      <c r="B112" s="3" t="s">
        <v>6</v>
      </c>
      <c r="C112" s="3">
        <v>6</v>
      </c>
      <c r="D112" s="3">
        <v>4</v>
      </c>
      <c r="E112" s="5">
        <f t="shared" si="3"/>
        <v>2</v>
      </c>
      <c r="F112" s="3" t="str">
        <f t="shared" si="5"/>
        <v>Critical</v>
      </c>
      <c r="G112" s="5" t="str">
        <f t="shared" si="4"/>
        <v>Yes</v>
      </c>
    </row>
    <row r="113" spans="1:7">
      <c r="A113" s="23" t="s">
        <v>128</v>
      </c>
      <c r="B113" s="3" t="s">
        <v>15</v>
      </c>
      <c r="C113" s="3">
        <v>9</v>
      </c>
      <c r="D113" s="3">
        <v>7</v>
      </c>
      <c r="E113" s="5">
        <f t="shared" si="3"/>
        <v>2</v>
      </c>
      <c r="F113" s="3" t="str">
        <f t="shared" si="5"/>
        <v>Critical</v>
      </c>
      <c r="G113" s="5" t="str">
        <f t="shared" si="4"/>
        <v>Yes</v>
      </c>
    </row>
    <row r="114" spans="1:7">
      <c r="A114" s="23" t="s">
        <v>129</v>
      </c>
      <c r="B114" s="3" t="s">
        <v>6</v>
      </c>
      <c r="C114" s="3">
        <v>6</v>
      </c>
      <c r="D114" s="3">
        <v>4</v>
      </c>
      <c r="E114" s="5">
        <f t="shared" si="3"/>
        <v>2</v>
      </c>
      <c r="F114" s="3" t="str">
        <f t="shared" si="5"/>
        <v>Critical</v>
      </c>
      <c r="G114" s="5" t="str">
        <f t="shared" si="4"/>
        <v>Yes</v>
      </c>
    </row>
    <row r="115" spans="1:7">
      <c r="A115" s="23" t="s">
        <v>130</v>
      </c>
      <c r="B115" s="3" t="s">
        <v>6</v>
      </c>
      <c r="C115" s="3">
        <v>8</v>
      </c>
      <c r="D115" s="3">
        <v>6</v>
      </c>
      <c r="E115" s="5">
        <f t="shared" si="3"/>
        <v>2</v>
      </c>
      <c r="F115" s="3" t="str">
        <f t="shared" si="5"/>
        <v>Critical</v>
      </c>
      <c r="G115" s="5" t="str">
        <f t="shared" si="4"/>
        <v>Yes</v>
      </c>
    </row>
    <row r="116" spans="1:7">
      <c r="A116" s="23" t="s">
        <v>131</v>
      </c>
      <c r="B116" s="3" t="s">
        <v>12</v>
      </c>
      <c r="C116" s="3">
        <v>9</v>
      </c>
      <c r="D116" s="3">
        <v>7</v>
      </c>
      <c r="E116" s="5">
        <f t="shared" si="3"/>
        <v>2</v>
      </c>
      <c r="F116" s="3" t="str">
        <f t="shared" si="5"/>
        <v>Critical</v>
      </c>
      <c r="G116" s="5" t="str">
        <f t="shared" si="4"/>
        <v>Yes</v>
      </c>
    </row>
    <row r="117" spans="1:7">
      <c r="A117" s="23" t="s">
        <v>132</v>
      </c>
      <c r="B117" s="3" t="s">
        <v>15</v>
      </c>
      <c r="C117" s="3">
        <v>5</v>
      </c>
      <c r="D117" s="3">
        <v>3</v>
      </c>
      <c r="E117" s="5">
        <f t="shared" si="3"/>
        <v>2</v>
      </c>
      <c r="F117" s="3" t="str">
        <f t="shared" si="5"/>
        <v>Critical</v>
      </c>
      <c r="G117" s="5" t="str">
        <f t="shared" si="4"/>
        <v>Yes</v>
      </c>
    </row>
    <row r="118" spans="1:7">
      <c r="A118" s="23" t="s">
        <v>133</v>
      </c>
      <c r="B118" s="3" t="s">
        <v>7</v>
      </c>
      <c r="C118" s="3">
        <v>5</v>
      </c>
      <c r="D118" s="3">
        <v>3</v>
      </c>
      <c r="E118" s="5">
        <f t="shared" si="3"/>
        <v>2</v>
      </c>
      <c r="F118" s="3" t="str">
        <f t="shared" si="5"/>
        <v>Critical</v>
      </c>
      <c r="G118" s="5" t="str">
        <f t="shared" si="4"/>
        <v>Yes</v>
      </c>
    </row>
    <row r="119" spans="1:7">
      <c r="A119" s="23" t="s">
        <v>134</v>
      </c>
      <c r="B119" s="3" t="s">
        <v>6</v>
      </c>
      <c r="C119" s="3">
        <v>4</v>
      </c>
      <c r="D119" s="3">
        <v>2</v>
      </c>
      <c r="E119" s="5">
        <f t="shared" si="3"/>
        <v>2</v>
      </c>
      <c r="F119" s="3" t="str">
        <f t="shared" si="5"/>
        <v>Critical</v>
      </c>
      <c r="G119" s="5" t="str">
        <f t="shared" si="4"/>
        <v>Yes</v>
      </c>
    </row>
    <row r="120" spans="1:7">
      <c r="A120" s="23" t="s">
        <v>135</v>
      </c>
      <c r="B120" s="3" t="s">
        <v>10</v>
      </c>
      <c r="C120" s="3">
        <v>8</v>
      </c>
      <c r="D120" s="3">
        <v>5</v>
      </c>
      <c r="E120" s="5">
        <f t="shared" si="3"/>
        <v>3</v>
      </c>
      <c r="F120" s="3" t="str">
        <f t="shared" si="5"/>
        <v>Low</v>
      </c>
      <c r="G120" s="5" t="str">
        <f t="shared" si="4"/>
        <v>No</v>
      </c>
    </row>
    <row r="121" spans="1:7">
      <c r="A121" s="23" t="s">
        <v>136</v>
      </c>
      <c r="B121" s="3" t="s">
        <v>8</v>
      </c>
      <c r="C121" s="3">
        <v>5</v>
      </c>
      <c r="D121" s="3">
        <v>2</v>
      </c>
      <c r="E121" s="5">
        <f t="shared" si="3"/>
        <v>3</v>
      </c>
      <c r="F121" s="3" t="str">
        <f t="shared" si="5"/>
        <v>Low</v>
      </c>
      <c r="G121" s="5" t="str">
        <f t="shared" si="4"/>
        <v>No</v>
      </c>
    </row>
    <row r="122" spans="1:7">
      <c r="A122" s="23" t="s">
        <v>137</v>
      </c>
      <c r="B122" s="3" t="s">
        <v>8</v>
      </c>
      <c r="C122" s="3">
        <v>7</v>
      </c>
      <c r="D122" s="3">
        <v>4</v>
      </c>
      <c r="E122" s="5">
        <f t="shared" si="3"/>
        <v>3</v>
      </c>
      <c r="F122" s="3" t="str">
        <f t="shared" si="5"/>
        <v>Low</v>
      </c>
      <c r="G122" s="5" t="str">
        <f t="shared" si="4"/>
        <v>No</v>
      </c>
    </row>
    <row r="123" spans="1:7">
      <c r="A123" s="23" t="s">
        <v>138</v>
      </c>
      <c r="B123" s="3" t="s">
        <v>6</v>
      </c>
      <c r="C123" s="3">
        <v>9</v>
      </c>
      <c r="D123" s="3">
        <v>6</v>
      </c>
      <c r="E123" s="5">
        <f t="shared" si="3"/>
        <v>3</v>
      </c>
      <c r="F123" s="3" t="str">
        <f t="shared" si="5"/>
        <v>Low</v>
      </c>
      <c r="G123" s="5" t="str">
        <f t="shared" si="4"/>
        <v>No</v>
      </c>
    </row>
    <row r="124" spans="1:7">
      <c r="A124" s="23" t="s">
        <v>139</v>
      </c>
      <c r="B124" s="3" t="s">
        <v>9</v>
      </c>
      <c r="C124" s="3">
        <v>6</v>
      </c>
      <c r="D124" s="3">
        <v>3</v>
      </c>
      <c r="E124" s="5">
        <f t="shared" si="3"/>
        <v>3</v>
      </c>
      <c r="F124" s="3" t="str">
        <f t="shared" si="5"/>
        <v>Low</v>
      </c>
      <c r="G124" s="5" t="str">
        <f t="shared" si="4"/>
        <v>No</v>
      </c>
    </row>
    <row r="125" spans="1:7">
      <c r="A125" s="23" t="s">
        <v>140</v>
      </c>
      <c r="B125" s="3" t="s">
        <v>15</v>
      </c>
      <c r="C125" s="3">
        <v>10</v>
      </c>
      <c r="D125" s="3">
        <v>7</v>
      </c>
      <c r="E125" s="5">
        <f t="shared" si="3"/>
        <v>3</v>
      </c>
      <c r="F125" s="3" t="str">
        <f t="shared" si="5"/>
        <v>Low</v>
      </c>
      <c r="G125" s="5" t="str">
        <f t="shared" si="4"/>
        <v>No</v>
      </c>
    </row>
    <row r="126" spans="1:7">
      <c r="A126" s="23" t="s">
        <v>141</v>
      </c>
      <c r="B126" s="3" t="s">
        <v>11</v>
      </c>
      <c r="C126" s="3">
        <v>9</v>
      </c>
      <c r="D126" s="3">
        <v>6</v>
      </c>
      <c r="E126" s="5">
        <f t="shared" si="3"/>
        <v>3</v>
      </c>
      <c r="F126" s="3" t="str">
        <f t="shared" si="5"/>
        <v>Low</v>
      </c>
      <c r="G126" s="5" t="str">
        <f t="shared" si="4"/>
        <v>No</v>
      </c>
    </row>
    <row r="127" spans="1:7">
      <c r="A127" s="23" t="s">
        <v>142</v>
      </c>
      <c r="B127" s="3" t="s">
        <v>13</v>
      </c>
      <c r="C127" s="3">
        <v>6</v>
      </c>
      <c r="D127" s="3">
        <v>3</v>
      </c>
      <c r="E127" s="5">
        <f t="shared" si="3"/>
        <v>3</v>
      </c>
      <c r="F127" s="3" t="str">
        <f t="shared" si="5"/>
        <v>Low</v>
      </c>
      <c r="G127" s="5" t="str">
        <f t="shared" si="4"/>
        <v>No</v>
      </c>
    </row>
    <row r="128" spans="1:7">
      <c r="A128" s="23" t="s">
        <v>143</v>
      </c>
      <c r="B128" s="3" t="s">
        <v>6</v>
      </c>
      <c r="C128" s="3">
        <v>10</v>
      </c>
      <c r="D128" s="3">
        <v>7</v>
      </c>
      <c r="E128" s="5">
        <f t="shared" si="3"/>
        <v>3</v>
      </c>
      <c r="F128" s="3" t="str">
        <f t="shared" si="5"/>
        <v>Low</v>
      </c>
      <c r="G128" s="5" t="str">
        <f t="shared" si="4"/>
        <v>No</v>
      </c>
    </row>
    <row r="129" spans="1:7">
      <c r="A129" s="23" t="s">
        <v>144</v>
      </c>
      <c r="B129" s="3" t="s">
        <v>12</v>
      </c>
      <c r="C129" s="3">
        <v>6</v>
      </c>
      <c r="D129" s="3">
        <v>3</v>
      </c>
      <c r="E129" s="5">
        <f t="shared" si="3"/>
        <v>3</v>
      </c>
      <c r="F129" s="3" t="str">
        <f t="shared" si="5"/>
        <v>Low</v>
      </c>
      <c r="G129" s="5" t="str">
        <f t="shared" si="4"/>
        <v>No</v>
      </c>
    </row>
    <row r="130" spans="1:7">
      <c r="A130" s="23" t="s">
        <v>145</v>
      </c>
      <c r="B130" s="3" t="s">
        <v>11</v>
      </c>
      <c r="C130" s="3">
        <v>6</v>
      </c>
      <c r="D130" s="3">
        <v>3</v>
      </c>
      <c r="E130" s="5">
        <f t="shared" ref="E130:E193" si="6">C130-D130</f>
        <v>3</v>
      </c>
      <c r="F130" s="3" t="str">
        <f t="shared" si="5"/>
        <v>Low</v>
      </c>
      <c r="G130" s="5" t="str">
        <f t="shared" ref="G130:G193" si="7">IF(F130="critical","Yes","No")</f>
        <v>No</v>
      </c>
    </row>
    <row r="131" spans="1:7">
      <c r="A131" s="23" t="s">
        <v>146</v>
      </c>
      <c r="B131" s="3" t="s">
        <v>9</v>
      </c>
      <c r="C131" s="3">
        <v>8</v>
      </c>
      <c r="D131" s="3">
        <v>5</v>
      </c>
      <c r="E131" s="5">
        <f t="shared" si="6"/>
        <v>3</v>
      </c>
      <c r="F131" s="3" t="str">
        <f t="shared" ref="F131:F194" si="8">IF(E131&lt;=2,"Critical",IF(E131&lt;=4,"Low","Healthy"))</f>
        <v>Low</v>
      </c>
      <c r="G131" s="5" t="str">
        <f t="shared" si="7"/>
        <v>No</v>
      </c>
    </row>
    <row r="132" spans="1:7">
      <c r="A132" s="23" t="s">
        <v>147</v>
      </c>
      <c r="B132" s="3" t="s">
        <v>15</v>
      </c>
      <c r="C132" s="3">
        <v>9</v>
      </c>
      <c r="D132" s="3">
        <v>6</v>
      </c>
      <c r="E132" s="5">
        <f t="shared" si="6"/>
        <v>3</v>
      </c>
      <c r="F132" s="3" t="str">
        <f t="shared" si="8"/>
        <v>Low</v>
      </c>
      <c r="G132" s="5" t="str">
        <f t="shared" si="7"/>
        <v>No</v>
      </c>
    </row>
    <row r="133" spans="1:7">
      <c r="A133" s="23" t="s">
        <v>148</v>
      </c>
      <c r="B133" s="3" t="s">
        <v>15</v>
      </c>
      <c r="C133" s="3">
        <v>8</v>
      </c>
      <c r="D133" s="3">
        <v>5</v>
      </c>
      <c r="E133" s="5">
        <f t="shared" si="6"/>
        <v>3</v>
      </c>
      <c r="F133" s="3" t="str">
        <f t="shared" si="8"/>
        <v>Low</v>
      </c>
      <c r="G133" s="5" t="str">
        <f t="shared" si="7"/>
        <v>No</v>
      </c>
    </row>
    <row r="134" spans="1:7">
      <c r="A134" s="23" t="s">
        <v>149</v>
      </c>
      <c r="B134" s="3" t="s">
        <v>15</v>
      </c>
      <c r="C134" s="3">
        <v>9</v>
      </c>
      <c r="D134" s="3">
        <v>6</v>
      </c>
      <c r="E134" s="5">
        <f t="shared" si="6"/>
        <v>3</v>
      </c>
      <c r="F134" s="3" t="str">
        <f t="shared" si="8"/>
        <v>Low</v>
      </c>
      <c r="G134" s="5" t="str">
        <f t="shared" si="7"/>
        <v>No</v>
      </c>
    </row>
    <row r="135" spans="1:7">
      <c r="A135" s="23" t="s">
        <v>150</v>
      </c>
      <c r="B135" s="3" t="s">
        <v>15</v>
      </c>
      <c r="C135" s="3">
        <v>7</v>
      </c>
      <c r="D135" s="3">
        <v>4</v>
      </c>
      <c r="E135" s="5">
        <f t="shared" si="6"/>
        <v>3</v>
      </c>
      <c r="F135" s="3" t="str">
        <f t="shared" si="8"/>
        <v>Low</v>
      </c>
      <c r="G135" s="5" t="str">
        <f t="shared" si="7"/>
        <v>No</v>
      </c>
    </row>
    <row r="136" spans="1:7">
      <c r="A136" s="23" t="s">
        <v>151</v>
      </c>
      <c r="B136" s="3" t="s">
        <v>9</v>
      </c>
      <c r="C136" s="3">
        <v>10</v>
      </c>
      <c r="D136" s="3">
        <v>7</v>
      </c>
      <c r="E136" s="5">
        <f t="shared" si="6"/>
        <v>3</v>
      </c>
      <c r="F136" s="3" t="str">
        <f t="shared" si="8"/>
        <v>Low</v>
      </c>
      <c r="G136" s="5" t="str">
        <f t="shared" si="7"/>
        <v>No</v>
      </c>
    </row>
    <row r="137" spans="1:7">
      <c r="A137" s="23" t="s">
        <v>152</v>
      </c>
      <c r="B137" s="3" t="s">
        <v>11</v>
      </c>
      <c r="C137" s="3">
        <v>8</v>
      </c>
      <c r="D137" s="3">
        <v>5</v>
      </c>
      <c r="E137" s="5">
        <f t="shared" si="6"/>
        <v>3</v>
      </c>
      <c r="F137" s="3" t="str">
        <f t="shared" si="8"/>
        <v>Low</v>
      </c>
      <c r="G137" s="5" t="str">
        <f t="shared" si="7"/>
        <v>No</v>
      </c>
    </row>
    <row r="138" spans="1:7">
      <c r="A138" s="23" t="s">
        <v>153</v>
      </c>
      <c r="B138" s="3" t="s">
        <v>6</v>
      </c>
      <c r="C138" s="3">
        <v>5</v>
      </c>
      <c r="D138" s="3">
        <v>2</v>
      </c>
      <c r="E138" s="5">
        <f t="shared" si="6"/>
        <v>3</v>
      </c>
      <c r="F138" s="3" t="str">
        <f t="shared" si="8"/>
        <v>Low</v>
      </c>
      <c r="G138" s="5" t="str">
        <f t="shared" si="7"/>
        <v>No</v>
      </c>
    </row>
    <row r="139" spans="1:7">
      <c r="A139" s="23" t="s">
        <v>154</v>
      </c>
      <c r="B139" s="3" t="s">
        <v>9</v>
      </c>
      <c r="C139" s="3">
        <v>10</v>
      </c>
      <c r="D139" s="3">
        <v>6</v>
      </c>
      <c r="E139" s="5">
        <f t="shared" si="6"/>
        <v>4</v>
      </c>
      <c r="F139" s="3" t="str">
        <f t="shared" si="8"/>
        <v>Low</v>
      </c>
      <c r="G139" s="5" t="str">
        <f t="shared" si="7"/>
        <v>No</v>
      </c>
    </row>
    <row r="140" spans="1:7">
      <c r="A140" s="23" t="s">
        <v>155</v>
      </c>
      <c r="B140" s="3" t="s">
        <v>11</v>
      </c>
      <c r="C140" s="3">
        <v>7</v>
      </c>
      <c r="D140" s="3">
        <v>3</v>
      </c>
      <c r="E140" s="5">
        <f t="shared" si="6"/>
        <v>4</v>
      </c>
      <c r="F140" s="3" t="str">
        <f t="shared" si="8"/>
        <v>Low</v>
      </c>
      <c r="G140" s="5" t="str">
        <f t="shared" si="7"/>
        <v>No</v>
      </c>
    </row>
    <row r="141" spans="1:7">
      <c r="A141" s="23" t="s">
        <v>156</v>
      </c>
      <c r="B141" s="3" t="s">
        <v>13</v>
      </c>
      <c r="C141" s="3">
        <v>6</v>
      </c>
      <c r="D141" s="3">
        <v>2</v>
      </c>
      <c r="E141" s="5">
        <f t="shared" si="6"/>
        <v>4</v>
      </c>
      <c r="F141" s="3" t="str">
        <f t="shared" si="8"/>
        <v>Low</v>
      </c>
      <c r="G141" s="5" t="str">
        <f t="shared" si="7"/>
        <v>No</v>
      </c>
    </row>
    <row r="142" spans="1:7">
      <c r="A142" s="23" t="s">
        <v>157</v>
      </c>
      <c r="B142" s="3" t="s">
        <v>6</v>
      </c>
      <c r="C142" s="3">
        <v>8</v>
      </c>
      <c r="D142" s="3">
        <v>4</v>
      </c>
      <c r="E142" s="5">
        <f t="shared" si="6"/>
        <v>4</v>
      </c>
      <c r="F142" s="3" t="str">
        <f t="shared" si="8"/>
        <v>Low</v>
      </c>
      <c r="G142" s="5" t="str">
        <f t="shared" si="7"/>
        <v>No</v>
      </c>
    </row>
    <row r="143" spans="1:7">
      <c r="A143" s="23" t="s">
        <v>158</v>
      </c>
      <c r="B143" s="3" t="s">
        <v>6</v>
      </c>
      <c r="C143" s="3">
        <v>7</v>
      </c>
      <c r="D143" s="3">
        <v>3</v>
      </c>
      <c r="E143" s="5">
        <f t="shared" si="6"/>
        <v>4</v>
      </c>
      <c r="F143" s="3" t="str">
        <f t="shared" si="8"/>
        <v>Low</v>
      </c>
      <c r="G143" s="5" t="str">
        <f t="shared" si="7"/>
        <v>No</v>
      </c>
    </row>
    <row r="144" spans="1:7">
      <c r="A144" s="23" t="s">
        <v>159</v>
      </c>
      <c r="B144" s="3" t="s">
        <v>11</v>
      </c>
      <c r="C144" s="3">
        <v>5</v>
      </c>
      <c r="D144" s="3">
        <v>1</v>
      </c>
      <c r="E144" s="5">
        <f t="shared" si="6"/>
        <v>4</v>
      </c>
      <c r="F144" s="3" t="str">
        <f t="shared" si="8"/>
        <v>Low</v>
      </c>
      <c r="G144" s="5" t="str">
        <f t="shared" si="7"/>
        <v>No</v>
      </c>
    </row>
    <row r="145" spans="1:7">
      <c r="A145" s="23" t="s">
        <v>160</v>
      </c>
      <c r="B145" s="3" t="s">
        <v>8</v>
      </c>
      <c r="C145" s="3">
        <v>8</v>
      </c>
      <c r="D145" s="3">
        <v>4</v>
      </c>
      <c r="E145" s="5">
        <f t="shared" si="6"/>
        <v>4</v>
      </c>
      <c r="F145" s="3" t="str">
        <f t="shared" si="8"/>
        <v>Low</v>
      </c>
      <c r="G145" s="5" t="str">
        <f t="shared" si="7"/>
        <v>No</v>
      </c>
    </row>
    <row r="146" spans="1:7">
      <c r="A146" s="23" t="s">
        <v>161</v>
      </c>
      <c r="B146" s="3" t="s">
        <v>12</v>
      </c>
      <c r="C146" s="3">
        <v>5</v>
      </c>
      <c r="D146" s="3">
        <v>1</v>
      </c>
      <c r="E146" s="5">
        <f t="shared" si="6"/>
        <v>4</v>
      </c>
      <c r="F146" s="3" t="str">
        <f t="shared" si="8"/>
        <v>Low</v>
      </c>
      <c r="G146" s="5" t="str">
        <f t="shared" si="7"/>
        <v>No</v>
      </c>
    </row>
    <row r="147" spans="1:7">
      <c r="A147" s="23" t="s">
        <v>162</v>
      </c>
      <c r="B147" s="3" t="s">
        <v>16</v>
      </c>
      <c r="C147" s="3">
        <v>10</v>
      </c>
      <c r="D147" s="3">
        <v>6</v>
      </c>
      <c r="E147" s="5">
        <f t="shared" si="6"/>
        <v>4</v>
      </c>
      <c r="F147" s="3" t="str">
        <f t="shared" si="8"/>
        <v>Low</v>
      </c>
      <c r="G147" s="5" t="str">
        <f t="shared" si="7"/>
        <v>No</v>
      </c>
    </row>
    <row r="148" spans="1:7">
      <c r="A148" s="23" t="s">
        <v>163</v>
      </c>
      <c r="B148" s="3" t="s">
        <v>14</v>
      </c>
      <c r="C148" s="3">
        <v>6</v>
      </c>
      <c r="D148" s="3">
        <v>2</v>
      </c>
      <c r="E148" s="5">
        <f t="shared" si="6"/>
        <v>4</v>
      </c>
      <c r="F148" s="3" t="str">
        <f t="shared" si="8"/>
        <v>Low</v>
      </c>
      <c r="G148" s="5" t="str">
        <f t="shared" si="7"/>
        <v>No</v>
      </c>
    </row>
    <row r="149" spans="1:7">
      <c r="A149" s="23" t="s">
        <v>164</v>
      </c>
      <c r="B149" s="3" t="s">
        <v>9</v>
      </c>
      <c r="C149" s="3">
        <v>6</v>
      </c>
      <c r="D149" s="3">
        <v>2</v>
      </c>
      <c r="E149" s="5">
        <f t="shared" si="6"/>
        <v>4</v>
      </c>
      <c r="F149" s="3" t="str">
        <f t="shared" si="8"/>
        <v>Low</v>
      </c>
      <c r="G149" s="5" t="str">
        <f t="shared" si="7"/>
        <v>No</v>
      </c>
    </row>
    <row r="150" spans="1:7">
      <c r="A150" s="23" t="s">
        <v>165</v>
      </c>
      <c r="B150" s="3" t="s">
        <v>15</v>
      </c>
      <c r="C150" s="3">
        <v>8</v>
      </c>
      <c r="D150" s="3">
        <v>4</v>
      </c>
      <c r="E150" s="5">
        <f t="shared" si="6"/>
        <v>4</v>
      </c>
      <c r="F150" s="3" t="str">
        <f t="shared" si="8"/>
        <v>Low</v>
      </c>
      <c r="G150" s="5" t="str">
        <f t="shared" si="7"/>
        <v>No</v>
      </c>
    </row>
    <row r="151" spans="1:7">
      <c r="A151" s="23" t="s">
        <v>166</v>
      </c>
      <c r="B151" s="3" t="s">
        <v>11</v>
      </c>
      <c r="C151" s="3">
        <v>9</v>
      </c>
      <c r="D151" s="3">
        <v>5</v>
      </c>
      <c r="E151" s="5">
        <f t="shared" si="6"/>
        <v>4</v>
      </c>
      <c r="F151" s="3" t="str">
        <f t="shared" si="8"/>
        <v>Low</v>
      </c>
      <c r="G151" s="5" t="str">
        <f t="shared" si="7"/>
        <v>No</v>
      </c>
    </row>
    <row r="152" spans="1:7">
      <c r="A152" s="23" t="s">
        <v>167</v>
      </c>
      <c r="B152" s="3" t="s">
        <v>6</v>
      </c>
      <c r="C152" s="3">
        <v>5</v>
      </c>
      <c r="D152" s="3">
        <v>1</v>
      </c>
      <c r="E152" s="5">
        <f t="shared" si="6"/>
        <v>4</v>
      </c>
      <c r="F152" s="3" t="str">
        <f t="shared" si="8"/>
        <v>Low</v>
      </c>
      <c r="G152" s="5" t="str">
        <f t="shared" si="7"/>
        <v>No</v>
      </c>
    </row>
    <row r="153" spans="1:7">
      <c r="A153" s="23" t="s">
        <v>168</v>
      </c>
      <c r="B153" s="3" t="s">
        <v>6</v>
      </c>
      <c r="C153" s="3">
        <v>10</v>
      </c>
      <c r="D153" s="3">
        <v>5</v>
      </c>
      <c r="E153" s="5">
        <f t="shared" si="6"/>
        <v>5</v>
      </c>
      <c r="F153" s="3" t="str">
        <f t="shared" si="8"/>
        <v>Healthy</v>
      </c>
      <c r="G153" s="5" t="str">
        <f t="shared" si="7"/>
        <v>No</v>
      </c>
    </row>
    <row r="154" spans="1:7">
      <c r="A154" s="23" t="s">
        <v>169</v>
      </c>
      <c r="B154" s="3" t="s">
        <v>8</v>
      </c>
      <c r="C154" s="3">
        <v>8</v>
      </c>
      <c r="D154" s="3">
        <v>3</v>
      </c>
      <c r="E154" s="5">
        <f t="shared" si="6"/>
        <v>5</v>
      </c>
      <c r="F154" s="3" t="str">
        <f t="shared" si="8"/>
        <v>Healthy</v>
      </c>
      <c r="G154" s="5" t="str">
        <f t="shared" si="7"/>
        <v>No</v>
      </c>
    </row>
    <row r="155" spans="1:7">
      <c r="A155" s="23" t="s">
        <v>170</v>
      </c>
      <c r="B155" s="3" t="s">
        <v>6</v>
      </c>
      <c r="C155" s="3">
        <v>7</v>
      </c>
      <c r="D155" s="3">
        <v>2</v>
      </c>
      <c r="E155" s="5">
        <f t="shared" si="6"/>
        <v>5</v>
      </c>
      <c r="F155" s="3" t="str">
        <f t="shared" si="8"/>
        <v>Healthy</v>
      </c>
      <c r="G155" s="5" t="str">
        <f t="shared" si="7"/>
        <v>No</v>
      </c>
    </row>
    <row r="156" spans="1:7">
      <c r="A156" s="23" t="s">
        <v>171</v>
      </c>
      <c r="B156" s="3" t="s">
        <v>12</v>
      </c>
      <c r="C156" s="3">
        <v>9</v>
      </c>
      <c r="D156" s="3">
        <v>4</v>
      </c>
      <c r="E156" s="5">
        <f t="shared" si="6"/>
        <v>5</v>
      </c>
      <c r="F156" s="3" t="str">
        <f t="shared" si="8"/>
        <v>Healthy</v>
      </c>
      <c r="G156" s="5" t="str">
        <f t="shared" si="7"/>
        <v>No</v>
      </c>
    </row>
    <row r="157" spans="1:7">
      <c r="A157" s="23" t="s">
        <v>172</v>
      </c>
      <c r="B157" s="3" t="s">
        <v>11</v>
      </c>
      <c r="C157" s="3">
        <v>10</v>
      </c>
      <c r="D157" s="3">
        <v>5</v>
      </c>
      <c r="E157" s="5">
        <f t="shared" si="6"/>
        <v>5</v>
      </c>
      <c r="F157" s="3" t="str">
        <f t="shared" si="8"/>
        <v>Healthy</v>
      </c>
      <c r="G157" s="5" t="str">
        <f t="shared" si="7"/>
        <v>No</v>
      </c>
    </row>
    <row r="158" spans="1:7">
      <c r="A158" s="23" t="s">
        <v>173</v>
      </c>
      <c r="B158" s="3" t="s">
        <v>7</v>
      </c>
      <c r="C158" s="3">
        <v>8</v>
      </c>
      <c r="D158" s="3">
        <v>3</v>
      </c>
      <c r="E158" s="5">
        <f t="shared" si="6"/>
        <v>5</v>
      </c>
      <c r="F158" s="3" t="str">
        <f t="shared" si="8"/>
        <v>Healthy</v>
      </c>
      <c r="G158" s="5" t="str">
        <f t="shared" si="7"/>
        <v>No</v>
      </c>
    </row>
    <row r="159" spans="1:7">
      <c r="A159" s="23" t="s">
        <v>174</v>
      </c>
      <c r="B159" s="3" t="s">
        <v>10</v>
      </c>
      <c r="C159" s="3">
        <v>8</v>
      </c>
      <c r="D159" s="3">
        <v>3</v>
      </c>
      <c r="E159" s="5">
        <f t="shared" si="6"/>
        <v>5</v>
      </c>
      <c r="F159" s="3" t="str">
        <f t="shared" si="8"/>
        <v>Healthy</v>
      </c>
      <c r="G159" s="5" t="str">
        <f t="shared" si="7"/>
        <v>No</v>
      </c>
    </row>
    <row r="160" spans="1:7">
      <c r="A160" s="23" t="s">
        <v>175</v>
      </c>
      <c r="B160" s="3" t="s">
        <v>15</v>
      </c>
      <c r="C160" s="3">
        <v>6</v>
      </c>
      <c r="D160" s="3">
        <v>1</v>
      </c>
      <c r="E160" s="5">
        <f t="shared" si="6"/>
        <v>5</v>
      </c>
      <c r="F160" s="3" t="str">
        <f t="shared" si="8"/>
        <v>Healthy</v>
      </c>
      <c r="G160" s="5" t="str">
        <f t="shared" si="7"/>
        <v>No</v>
      </c>
    </row>
    <row r="161" spans="1:7">
      <c r="A161" s="23" t="s">
        <v>176</v>
      </c>
      <c r="B161" s="3" t="s">
        <v>9</v>
      </c>
      <c r="C161" s="3">
        <v>9</v>
      </c>
      <c r="D161" s="3">
        <v>4</v>
      </c>
      <c r="E161" s="5">
        <f t="shared" si="6"/>
        <v>5</v>
      </c>
      <c r="F161" s="3" t="str">
        <f t="shared" si="8"/>
        <v>Healthy</v>
      </c>
      <c r="G161" s="5" t="str">
        <f t="shared" si="7"/>
        <v>No</v>
      </c>
    </row>
    <row r="162" spans="1:7">
      <c r="A162" s="23" t="s">
        <v>177</v>
      </c>
      <c r="B162" s="3" t="s">
        <v>9</v>
      </c>
      <c r="C162" s="3">
        <v>7</v>
      </c>
      <c r="D162" s="3">
        <v>2</v>
      </c>
      <c r="E162" s="5">
        <f t="shared" si="6"/>
        <v>5</v>
      </c>
      <c r="F162" s="3" t="str">
        <f t="shared" si="8"/>
        <v>Healthy</v>
      </c>
      <c r="G162" s="5" t="str">
        <f t="shared" si="7"/>
        <v>No</v>
      </c>
    </row>
    <row r="163" spans="1:7">
      <c r="A163" s="23" t="s">
        <v>178</v>
      </c>
      <c r="B163" s="3" t="s">
        <v>9</v>
      </c>
      <c r="C163" s="3">
        <v>6</v>
      </c>
      <c r="D163" s="3">
        <v>1</v>
      </c>
      <c r="E163" s="5">
        <f t="shared" si="6"/>
        <v>5</v>
      </c>
      <c r="F163" s="3" t="str">
        <f t="shared" si="8"/>
        <v>Healthy</v>
      </c>
      <c r="G163" s="5" t="str">
        <f t="shared" si="7"/>
        <v>No</v>
      </c>
    </row>
    <row r="164" spans="1:7">
      <c r="A164" s="23" t="s">
        <v>179</v>
      </c>
      <c r="B164" s="3" t="s">
        <v>10</v>
      </c>
      <c r="C164" s="3">
        <v>6</v>
      </c>
      <c r="D164" s="3">
        <v>1</v>
      </c>
      <c r="E164" s="5">
        <f t="shared" si="6"/>
        <v>5</v>
      </c>
      <c r="F164" s="3" t="str">
        <f t="shared" si="8"/>
        <v>Healthy</v>
      </c>
      <c r="G164" s="5" t="str">
        <f t="shared" si="7"/>
        <v>No</v>
      </c>
    </row>
    <row r="165" spans="1:7">
      <c r="A165" s="23" t="s">
        <v>180</v>
      </c>
      <c r="B165" s="3" t="s">
        <v>12</v>
      </c>
      <c r="C165" s="3">
        <v>9</v>
      </c>
      <c r="D165" s="3">
        <v>4</v>
      </c>
      <c r="E165" s="5">
        <f t="shared" si="6"/>
        <v>5</v>
      </c>
      <c r="F165" s="3" t="str">
        <f t="shared" si="8"/>
        <v>Healthy</v>
      </c>
      <c r="G165" s="5" t="str">
        <f t="shared" si="7"/>
        <v>No</v>
      </c>
    </row>
    <row r="166" spans="1:7">
      <c r="A166" s="23" t="s">
        <v>181</v>
      </c>
      <c r="B166" s="3" t="s">
        <v>6</v>
      </c>
      <c r="C166" s="3">
        <v>8</v>
      </c>
      <c r="D166" s="3">
        <v>3</v>
      </c>
      <c r="E166" s="5">
        <f t="shared" si="6"/>
        <v>5</v>
      </c>
      <c r="F166" s="3" t="str">
        <f t="shared" si="8"/>
        <v>Healthy</v>
      </c>
      <c r="G166" s="5" t="str">
        <f t="shared" si="7"/>
        <v>No</v>
      </c>
    </row>
    <row r="167" spans="1:7">
      <c r="A167" s="23" t="s">
        <v>182</v>
      </c>
      <c r="B167" s="3" t="s">
        <v>11</v>
      </c>
      <c r="C167" s="3">
        <v>7</v>
      </c>
      <c r="D167" s="3">
        <v>1</v>
      </c>
      <c r="E167" s="5">
        <f t="shared" si="6"/>
        <v>6</v>
      </c>
      <c r="F167" s="3" t="str">
        <f t="shared" si="8"/>
        <v>Healthy</v>
      </c>
      <c r="G167" s="5" t="str">
        <f t="shared" si="7"/>
        <v>No</v>
      </c>
    </row>
    <row r="168" spans="1:7">
      <c r="A168" s="23" t="s">
        <v>183</v>
      </c>
      <c r="B168" s="3" t="s">
        <v>6</v>
      </c>
      <c r="C168" s="3">
        <v>7</v>
      </c>
      <c r="D168" s="3">
        <v>1</v>
      </c>
      <c r="E168" s="5">
        <f t="shared" si="6"/>
        <v>6</v>
      </c>
      <c r="F168" s="3" t="str">
        <f t="shared" si="8"/>
        <v>Healthy</v>
      </c>
      <c r="G168" s="5" t="str">
        <f t="shared" si="7"/>
        <v>No</v>
      </c>
    </row>
    <row r="169" spans="1:7">
      <c r="A169" s="23" t="s">
        <v>184</v>
      </c>
      <c r="B169" s="3" t="s">
        <v>15</v>
      </c>
      <c r="C169" s="3">
        <v>8</v>
      </c>
      <c r="D169" s="3">
        <v>2</v>
      </c>
      <c r="E169" s="5">
        <f t="shared" si="6"/>
        <v>6</v>
      </c>
      <c r="F169" s="3" t="str">
        <f t="shared" si="8"/>
        <v>Healthy</v>
      </c>
      <c r="G169" s="5" t="str">
        <f t="shared" si="7"/>
        <v>No</v>
      </c>
    </row>
    <row r="170" spans="1:7">
      <c r="A170" s="23" t="s">
        <v>185</v>
      </c>
      <c r="B170" s="3" t="s">
        <v>7</v>
      </c>
      <c r="C170" s="3">
        <v>10</v>
      </c>
      <c r="D170" s="3">
        <v>4</v>
      </c>
      <c r="E170" s="5">
        <f t="shared" si="6"/>
        <v>6</v>
      </c>
      <c r="F170" s="3" t="str">
        <f t="shared" si="8"/>
        <v>Healthy</v>
      </c>
      <c r="G170" s="5" t="str">
        <f t="shared" si="7"/>
        <v>No</v>
      </c>
    </row>
    <row r="171" spans="1:7">
      <c r="A171" s="23" t="s">
        <v>186</v>
      </c>
      <c r="B171" s="3" t="s">
        <v>11</v>
      </c>
      <c r="C171" s="3">
        <v>8</v>
      </c>
      <c r="D171" s="3">
        <v>2</v>
      </c>
      <c r="E171" s="5">
        <f t="shared" si="6"/>
        <v>6</v>
      </c>
      <c r="F171" s="3" t="str">
        <f t="shared" si="8"/>
        <v>Healthy</v>
      </c>
      <c r="G171" s="5" t="str">
        <f t="shared" si="7"/>
        <v>No</v>
      </c>
    </row>
    <row r="172" spans="1:7">
      <c r="A172" s="23" t="s">
        <v>187</v>
      </c>
      <c r="B172" s="3" t="s">
        <v>9</v>
      </c>
      <c r="C172" s="3">
        <v>8</v>
      </c>
      <c r="D172" s="3">
        <v>2</v>
      </c>
      <c r="E172" s="5">
        <f t="shared" si="6"/>
        <v>6</v>
      </c>
      <c r="F172" s="3" t="str">
        <f t="shared" si="8"/>
        <v>Healthy</v>
      </c>
      <c r="G172" s="5" t="str">
        <f t="shared" si="7"/>
        <v>No</v>
      </c>
    </row>
    <row r="173" spans="1:7">
      <c r="A173" s="23" t="s">
        <v>188</v>
      </c>
      <c r="B173" s="3" t="s">
        <v>7</v>
      </c>
      <c r="C173" s="3">
        <v>7</v>
      </c>
      <c r="D173" s="3">
        <v>1</v>
      </c>
      <c r="E173" s="5">
        <f t="shared" si="6"/>
        <v>6</v>
      </c>
      <c r="F173" s="3" t="str">
        <f t="shared" si="8"/>
        <v>Healthy</v>
      </c>
      <c r="G173" s="5" t="str">
        <f t="shared" si="7"/>
        <v>No</v>
      </c>
    </row>
    <row r="174" spans="1:7">
      <c r="A174" s="23" t="s">
        <v>189</v>
      </c>
      <c r="B174" s="3" t="s">
        <v>8</v>
      </c>
      <c r="C174" s="3">
        <v>8</v>
      </c>
      <c r="D174" s="3">
        <v>2</v>
      </c>
      <c r="E174" s="5">
        <f t="shared" si="6"/>
        <v>6</v>
      </c>
      <c r="F174" s="3" t="str">
        <f t="shared" si="8"/>
        <v>Healthy</v>
      </c>
      <c r="G174" s="5" t="str">
        <f t="shared" si="7"/>
        <v>No</v>
      </c>
    </row>
    <row r="175" spans="1:7">
      <c r="A175" s="23" t="s">
        <v>190</v>
      </c>
      <c r="B175" s="3" t="s">
        <v>8</v>
      </c>
      <c r="C175" s="3">
        <v>8</v>
      </c>
      <c r="D175" s="3">
        <v>2</v>
      </c>
      <c r="E175" s="5">
        <f t="shared" si="6"/>
        <v>6</v>
      </c>
      <c r="F175" s="3" t="str">
        <f t="shared" si="8"/>
        <v>Healthy</v>
      </c>
      <c r="G175" s="5" t="str">
        <f t="shared" si="7"/>
        <v>No</v>
      </c>
    </row>
    <row r="176" spans="1:7">
      <c r="A176" s="23" t="s">
        <v>191</v>
      </c>
      <c r="B176" s="3" t="s">
        <v>6</v>
      </c>
      <c r="C176" s="3">
        <v>10</v>
      </c>
      <c r="D176" s="3">
        <v>4</v>
      </c>
      <c r="E176" s="5">
        <f t="shared" si="6"/>
        <v>6</v>
      </c>
      <c r="F176" s="3" t="str">
        <f t="shared" si="8"/>
        <v>Healthy</v>
      </c>
      <c r="G176" s="5" t="str">
        <f t="shared" si="7"/>
        <v>No</v>
      </c>
    </row>
    <row r="177" spans="1:7">
      <c r="A177" s="23" t="s">
        <v>192</v>
      </c>
      <c r="B177" s="3" t="s">
        <v>7</v>
      </c>
      <c r="C177" s="3">
        <v>7</v>
      </c>
      <c r="D177" s="3">
        <v>1</v>
      </c>
      <c r="E177" s="5">
        <f t="shared" si="6"/>
        <v>6</v>
      </c>
      <c r="F177" s="3" t="str">
        <f t="shared" si="8"/>
        <v>Healthy</v>
      </c>
      <c r="G177" s="5" t="str">
        <f t="shared" si="7"/>
        <v>No</v>
      </c>
    </row>
    <row r="178" spans="1:7">
      <c r="A178" s="23" t="s">
        <v>193</v>
      </c>
      <c r="B178" s="3" t="s">
        <v>15</v>
      </c>
      <c r="C178" s="3">
        <v>8</v>
      </c>
      <c r="D178" s="3">
        <v>2</v>
      </c>
      <c r="E178" s="5">
        <f t="shared" si="6"/>
        <v>6</v>
      </c>
      <c r="F178" s="3" t="str">
        <f t="shared" si="8"/>
        <v>Healthy</v>
      </c>
      <c r="G178" s="5" t="str">
        <f t="shared" si="7"/>
        <v>No</v>
      </c>
    </row>
    <row r="179" spans="1:7">
      <c r="A179" s="23" t="s">
        <v>194</v>
      </c>
      <c r="B179" s="3" t="s">
        <v>13</v>
      </c>
      <c r="C179" s="3">
        <v>10</v>
      </c>
      <c r="D179" s="3">
        <v>4</v>
      </c>
      <c r="E179" s="5">
        <f t="shared" si="6"/>
        <v>6</v>
      </c>
      <c r="F179" s="3" t="str">
        <f t="shared" si="8"/>
        <v>Healthy</v>
      </c>
      <c r="G179" s="5" t="str">
        <f t="shared" si="7"/>
        <v>No</v>
      </c>
    </row>
    <row r="180" spans="1:7">
      <c r="A180" s="23" t="s">
        <v>195</v>
      </c>
      <c r="B180" s="3" t="s">
        <v>13</v>
      </c>
      <c r="C180" s="3">
        <v>10</v>
      </c>
      <c r="D180" s="3">
        <v>4</v>
      </c>
      <c r="E180" s="5">
        <f t="shared" si="6"/>
        <v>6</v>
      </c>
      <c r="F180" s="3" t="str">
        <f t="shared" si="8"/>
        <v>Healthy</v>
      </c>
      <c r="G180" s="5" t="str">
        <f t="shared" si="7"/>
        <v>No</v>
      </c>
    </row>
    <row r="181" spans="1:7">
      <c r="A181" s="23" t="s">
        <v>196</v>
      </c>
      <c r="B181" s="3" t="s">
        <v>8</v>
      </c>
      <c r="C181" s="3">
        <v>9</v>
      </c>
      <c r="D181" s="3">
        <v>3</v>
      </c>
      <c r="E181" s="5">
        <f t="shared" si="6"/>
        <v>6</v>
      </c>
      <c r="F181" s="3" t="str">
        <f t="shared" si="8"/>
        <v>Healthy</v>
      </c>
      <c r="G181" s="5" t="str">
        <f t="shared" si="7"/>
        <v>No</v>
      </c>
    </row>
    <row r="182" spans="1:7">
      <c r="A182" s="23" t="s">
        <v>197</v>
      </c>
      <c r="B182" s="3" t="s">
        <v>12</v>
      </c>
      <c r="C182" s="3">
        <v>9</v>
      </c>
      <c r="D182" s="3">
        <v>2</v>
      </c>
      <c r="E182" s="5">
        <f t="shared" si="6"/>
        <v>7</v>
      </c>
      <c r="F182" s="3" t="str">
        <f t="shared" si="8"/>
        <v>Healthy</v>
      </c>
      <c r="G182" s="5" t="str">
        <f t="shared" si="7"/>
        <v>No</v>
      </c>
    </row>
    <row r="183" spans="1:7">
      <c r="A183" s="23" t="s">
        <v>198</v>
      </c>
      <c r="B183" s="3" t="s">
        <v>8</v>
      </c>
      <c r="C183" s="3">
        <v>9</v>
      </c>
      <c r="D183" s="3">
        <v>2</v>
      </c>
      <c r="E183" s="5">
        <f t="shared" si="6"/>
        <v>7</v>
      </c>
      <c r="F183" s="3" t="str">
        <f t="shared" si="8"/>
        <v>Healthy</v>
      </c>
      <c r="G183" s="5" t="str">
        <f t="shared" si="7"/>
        <v>No</v>
      </c>
    </row>
    <row r="184" spans="1:7">
      <c r="A184" s="23" t="s">
        <v>199</v>
      </c>
      <c r="B184" s="3" t="s">
        <v>9</v>
      </c>
      <c r="C184" s="3">
        <v>10</v>
      </c>
      <c r="D184" s="3">
        <v>3</v>
      </c>
      <c r="E184" s="5">
        <f t="shared" si="6"/>
        <v>7</v>
      </c>
      <c r="F184" s="3" t="str">
        <f t="shared" si="8"/>
        <v>Healthy</v>
      </c>
      <c r="G184" s="5" t="str">
        <f t="shared" si="7"/>
        <v>No</v>
      </c>
    </row>
    <row r="185" spans="1:7">
      <c r="A185" s="23" t="s">
        <v>200</v>
      </c>
      <c r="B185" s="3" t="s">
        <v>10</v>
      </c>
      <c r="C185" s="3">
        <v>9</v>
      </c>
      <c r="D185" s="3">
        <v>2</v>
      </c>
      <c r="E185" s="5">
        <f t="shared" si="6"/>
        <v>7</v>
      </c>
      <c r="F185" s="3" t="str">
        <f t="shared" si="8"/>
        <v>Healthy</v>
      </c>
      <c r="G185" s="5" t="str">
        <f t="shared" si="7"/>
        <v>No</v>
      </c>
    </row>
    <row r="186" spans="1:7">
      <c r="A186" s="23" t="s">
        <v>201</v>
      </c>
      <c r="B186" s="3" t="s">
        <v>6</v>
      </c>
      <c r="C186" s="3">
        <v>10</v>
      </c>
      <c r="D186" s="3">
        <v>3</v>
      </c>
      <c r="E186" s="5">
        <f t="shared" si="6"/>
        <v>7</v>
      </c>
      <c r="F186" s="3" t="str">
        <f t="shared" si="8"/>
        <v>Healthy</v>
      </c>
      <c r="G186" s="5" t="str">
        <f t="shared" si="7"/>
        <v>No</v>
      </c>
    </row>
    <row r="187" spans="1:7">
      <c r="A187" s="23" t="s">
        <v>202</v>
      </c>
      <c r="B187" s="3" t="s">
        <v>12</v>
      </c>
      <c r="C187" s="3">
        <v>10</v>
      </c>
      <c r="D187" s="3">
        <v>3</v>
      </c>
      <c r="E187" s="5">
        <f t="shared" si="6"/>
        <v>7</v>
      </c>
      <c r="F187" s="3" t="str">
        <f t="shared" si="8"/>
        <v>Healthy</v>
      </c>
      <c r="G187" s="5" t="str">
        <f t="shared" si="7"/>
        <v>No</v>
      </c>
    </row>
    <row r="188" spans="1:7">
      <c r="A188" s="23" t="s">
        <v>203</v>
      </c>
      <c r="B188" s="3" t="s">
        <v>9</v>
      </c>
      <c r="C188" s="3">
        <v>9</v>
      </c>
      <c r="D188" s="3">
        <v>2</v>
      </c>
      <c r="E188" s="5">
        <f t="shared" si="6"/>
        <v>7</v>
      </c>
      <c r="F188" s="3" t="str">
        <f t="shared" si="8"/>
        <v>Healthy</v>
      </c>
      <c r="G188" s="5" t="str">
        <f t="shared" si="7"/>
        <v>No</v>
      </c>
    </row>
    <row r="189" spans="1:7">
      <c r="A189" s="23" t="s">
        <v>204</v>
      </c>
      <c r="B189" s="3" t="s">
        <v>8</v>
      </c>
      <c r="C189" s="3">
        <v>8</v>
      </c>
      <c r="D189" s="3">
        <v>1</v>
      </c>
      <c r="E189" s="5">
        <f t="shared" si="6"/>
        <v>7</v>
      </c>
      <c r="F189" s="3" t="str">
        <f t="shared" si="8"/>
        <v>Healthy</v>
      </c>
      <c r="G189" s="5" t="str">
        <f t="shared" si="7"/>
        <v>No</v>
      </c>
    </row>
    <row r="190" spans="1:7">
      <c r="A190" s="23" t="s">
        <v>205</v>
      </c>
      <c r="B190" s="3" t="s">
        <v>12</v>
      </c>
      <c r="C190" s="3">
        <v>9</v>
      </c>
      <c r="D190" s="3">
        <v>2</v>
      </c>
      <c r="E190" s="5">
        <f t="shared" si="6"/>
        <v>7</v>
      </c>
      <c r="F190" s="3" t="str">
        <f t="shared" si="8"/>
        <v>Healthy</v>
      </c>
      <c r="G190" s="5" t="str">
        <f t="shared" si="7"/>
        <v>No</v>
      </c>
    </row>
    <row r="191" spans="1:7">
      <c r="A191" s="23" t="s">
        <v>206</v>
      </c>
      <c r="B191" s="3" t="s">
        <v>9</v>
      </c>
      <c r="C191" s="3">
        <v>9</v>
      </c>
      <c r="D191" s="3">
        <v>2</v>
      </c>
      <c r="E191" s="5">
        <f t="shared" si="6"/>
        <v>7</v>
      </c>
      <c r="F191" s="3" t="str">
        <f t="shared" si="8"/>
        <v>Healthy</v>
      </c>
      <c r="G191" s="5" t="str">
        <f t="shared" si="7"/>
        <v>No</v>
      </c>
    </row>
    <row r="192" spans="1:7">
      <c r="A192" s="23" t="s">
        <v>207</v>
      </c>
      <c r="B192" s="3" t="s">
        <v>15</v>
      </c>
      <c r="C192" s="3">
        <v>10</v>
      </c>
      <c r="D192" s="3">
        <v>3</v>
      </c>
      <c r="E192" s="5">
        <f t="shared" si="6"/>
        <v>7</v>
      </c>
      <c r="F192" s="3" t="str">
        <f t="shared" si="8"/>
        <v>Healthy</v>
      </c>
      <c r="G192" s="5" t="str">
        <f t="shared" si="7"/>
        <v>No</v>
      </c>
    </row>
    <row r="193" spans="1:7">
      <c r="A193" s="23" t="s">
        <v>208</v>
      </c>
      <c r="B193" s="3" t="s">
        <v>7</v>
      </c>
      <c r="C193" s="3">
        <v>9</v>
      </c>
      <c r="D193" s="3">
        <v>2</v>
      </c>
      <c r="E193" s="5">
        <f t="shared" si="6"/>
        <v>7</v>
      </c>
      <c r="F193" s="3" t="str">
        <f t="shared" si="8"/>
        <v>Healthy</v>
      </c>
      <c r="G193" s="5" t="str">
        <f t="shared" si="7"/>
        <v>No</v>
      </c>
    </row>
    <row r="194" spans="1:7">
      <c r="A194" s="23" t="s">
        <v>209</v>
      </c>
      <c r="B194" s="3" t="s">
        <v>6</v>
      </c>
      <c r="C194" s="3">
        <v>9</v>
      </c>
      <c r="D194" s="3">
        <v>1</v>
      </c>
      <c r="E194" s="5">
        <f t="shared" ref="E194:E201" si="9">C194-D194</f>
        <v>8</v>
      </c>
      <c r="F194" s="3" t="str">
        <f t="shared" si="8"/>
        <v>Healthy</v>
      </c>
      <c r="G194" s="5" t="str">
        <f t="shared" ref="G194:G201" si="10">IF(F194="critical","Yes","No")</f>
        <v>No</v>
      </c>
    </row>
    <row r="195" spans="1:7">
      <c r="A195" s="23" t="s">
        <v>210</v>
      </c>
      <c r="B195" s="3" t="s">
        <v>6</v>
      </c>
      <c r="C195" s="3">
        <v>9</v>
      </c>
      <c r="D195" s="3">
        <v>1</v>
      </c>
      <c r="E195" s="5">
        <f t="shared" si="9"/>
        <v>8</v>
      </c>
      <c r="F195" s="3" t="str">
        <f t="shared" ref="F195:F201" si="11">IF(E195&lt;=2,"Critical",IF(E195&lt;=4,"Low","Healthy"))</f>
        <v>Healthy</v>
      </c>
      <c r="G195" s="5" t="str">
        <f t="shared" si="10"/>
        <v>No</v>
      </c>
    </row>
    <row r="196" spans="1:7">
      <c r="A196" s="23" t="s">
        <v>211</v>
      </c>
      <c r="B196" s="3" t="s">
        <v>7</v>
      </c>
      <c r="C196" s="3">
        <v>10</v>
      </c>
      <c r="D196" s="3">
        <v>2</v>
      </c>
      <c r="E196" s="5">
        <f t="shared" si="9"/>
        <v>8</v>
      </c>
      <c r="F196" s="3" t="str">
        <f t="shared" si="11"/>
        <v>Healthy</v>
      </c>
      <c r="G196" s="5" t="str">
        <f t="shared" si="10"/>
        <v>No</v>
      </c>
    </row>
    <row r="197" spans="1:7">
      <c r="A197" s="23" t="s">
        <v>212</v>
      </c>
      <c r="B197" s="3" t="s">
        <v>13</v>
      </c>
      <c r="C197" s="3">
        <v>9</v>
      </c>
      <c r="D197" s="3">
        <v>1</v>
      </c>
      <c r="E197" s="5">
        <f t="shared" si="9"/>
        <v>8</v>
      </c>
      <c r="F197" s="3" t="str">
        <f t="shared" si="11"/>
        <v>Healthy</v>
      </c>
      <c r="G197" s="5" t="str">
        <f t="shared" si="10"/>
        <v>No</v>
      </c>
    </row>
    <row r="198" spans="1:7">
      <c r="A198" s="23" t="s">
        <v>213</v>
      </c>
      <c r="B198" s="3" t="s">
        <v>8</v>
      </c>
      <c r="C198" s="3">
        <v>10</v>
      </c>
      <c r="D198" s="3">
        <v>1</v>
      </c>
      <c r="E198" s="5">
        <f t="shared" si="9"/>
        <v>9</v>
      </c>
      <c r="F198" s="3" t="str">
        <f t="shared" si="11"/>
        <v>Healthy</v>
      </c>
      <c r="G198" s="5" t="str">
        <f t="shared" si="10"/>
        <v>No</v>
      </c>
    </row>
    <row r="199" spans="1:7">
      <c r="A199" s="23" t="s">
        <v>214</v>
      </c>
      <c r="B199" s="3" t="s">
        <v>9</v>
      </c>
      <c r="C199" s="3">
        <v>10</v>
      </c>
      <c r="D199" s="3">
        <v>1</v>
      </c>
      <c r="E199" s="5">
        <f t="shared" si="9"/>
        <v>9</v>
      </c>
      <c r="F199" s="3" t="str">
        <f t="shared" si="11"/>
        <v>Healthy</v>
      </c>
      <c r="G199" s="5" t="str">
        <f t="shared" si="10"/>
        <v>No</v>
      </c>
    </row>
    <row r="200" spans="1:7">
      <c r="A200" s="23" t="s">
        <v>215</v>
      </c>
      <c r="B200" s="3" t="s">
        <v>8</v>
      </c>
      <c r="C200" s="3">
        <v>10</v>
      </c>
      <c r="D200" s="3">
        <v>1</v>
      </c>
      <c r="E200" s="5">
        <f t="shared" si="9"/>
        <v>9</v>
      </c>
      <c r="F200" s="3" t="str">
        <f t="shared" si="11"/>
        <v>Healthy</v>
      </c>
      <c r="G200" s="5" t="str">
        <f t="shared" si="10"/>
        <v>No</v>
      </c>
    </row>
    <row r="201" spans="1:7">
      <c r="A201" s="24" t="s">
        <v>216</v>
      </c>
      <c r="B201" s="10" t="s">
        <v>9</v>
      </c>
      <c r="C201" s="10">
        <v>10</v>
      </c>
      <c r="D201" s="10">
        <v>1</v>
      </c>
      <c r="E201" s="11">
        <f t="shared" si="9"/>
        <v>9</v>
      </c>
      <c r="F201" s="10" t="str">
        <f t="shared" si="11"/>
        <v>Healthy</v>
      </c>
      <c r="G201" s="11" t="str">
        <f t="shared" si="10"/>
        <v>No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9773-B4C3-4F97-B14C-98C455C8084C}">
  <dimension ref="A2:F20"/>
  <sheetViews>
    <sheetView showGridLines="0" showRowColHeaders="0" workbookViewId="0">
      <selection sqref="A1:F20"/>
    </sheetView>
  </sheetViews>
  <sheetFormatPr defaultRowHeight="14.4"/>
  <cols>
    <col min="1" max="1" width="21.5546875" customWidth="1"/>
    <col min="2" max="2" width="32" customWidth="1"/>
    <col min="3" max="3" width="22.88671875" customWidth="1"/>
    <col min="4" max="4" width="17" customWidth="1"/>
    <col min="5" max="5" width="17.77734375" customWidth="1"/>
    <col min="6" max="6" width="24" customWidth="1"/>
  </cols>
  <sheetData>
    <row r="2" spans="1:6">
      <c r="B2" s="30" t="s">
        <v>495</v>
      </c>
      <c r="C2" s="31"/>
      <c r="D2" s="31"/>
      <c r="E2" s="31"/>
    </row>
    <row r="3" spans="1:6">
      <c r="B3" s="31"/>
      <c r="C3" s="31"/>
      <c r="D3" s="31"/>
      <c r="E3" s="31"/>
    </row>
    <row r="5" spans="1:6" ht="19.8" customHeight="1">
      <c r="A5" s="12" t="s">
        <v>235</v>
      </c>
      <c r="B5" s="12" t="s">
        <v>236</v>
      </c>
      <c r="C5" s="12" t="s">
        <v>237</v>
      </c>
      <c r="D5" s="12" t="s">
        <v>238</v>
      </c>
      <c r="E5" s="12" t="s">
        <v>239</v>
      </c>
      <c r="F5" s="12" t="s">
        <v>291</v>
      </c>
    </row>
    <row r="6" spans="1:6" ht="19.8" customHeight="1">
      <c r="A6" s="15" t="s">
        <v>250</v>
      </c>
      <c r="B6" s="15" t="s">
        <v>240</v>
      </c>
      <c r="C6" s="15" t="s">
        <v>251</v>
      </c>
      <c r="D6" s="15" t="s">
        <v>244</v>
      </c>
      <c r="E6" s="15" t="s">
        <v>247</v>
      </c>
      <c r="F6" s="15" t="s">
        <v>292</v>
      </c>
    </row>
    <row r="7" spans="1:6" ht="19.8" customHeight="1">
      <c r="A7" s="15" t="s">
        <v>252</v>
      </c>
      <c r="B7" s="15" t="s">
        <v>241</v>
      </c>
      <c r="C7" s="15" t="s">
        <v>253</v>
      </c>
      <c r="D7" s="15" t="s">
        <v>244</v>
      </c>
      <c r="E7" s="15" t="s">
        <v>248</v>
      </c>
      <c r="F7" s="15" t="s">
        <v>293</v>
      </c>
    </row>
    <row r="8" spans="1:6" ht="19.8" customHeight="1">
      <c r="A8" s="15" t="s">
        <v>254</v>
      </c>
      <c r="B8" s="15" t="s">
        <v>242</v>
      </c>
      <c r="C8" s="15" t="s">
        <v>255</v>
      </c>
      <c r="D8" s="15" t="s">
        <v>245</v>
      </c>
      <c r="E8" s="15" t="s">
        <v>247</v>
      </c>
      <c r="F8" s="15" t="s">
        <v>294</v>
      </c>
    </row>
    <row r="9" spans="1:6" ht="19.8" customHeight="1">
      <c r="A9" s="15" t="s">
        <v>256</v>
      </c>
      <c r="B9" s="15" t="s">
        <v>243</v>
      </c>
      <c r="C9" s="15" t="s">
        <v>257</v>
      </c>
      <c r="D9" s="15" t="s">
        <v>245</v>
      </c>
      <c r="E9" s="15" t="s">
        <v>248</v>
      </c>
      <c r="F9" s="15" t="s">
        <v>295</v>
      </c>
    </row>
    <row r="10" spans="1:6" ht="19.8" customHeight="1">
      <c r="A10" s="15" t="s">
        <v>258</v>
      </c>
      <c r="B10" s="15" t="s">
        <v>259</v>
      </c>
      <c r="C10" s="15" t="s">
        <v>260</v>
      </c>
      <c r="D10" s="15" t="s">
        <v>244</v>
      </c>
      <c r="E10" s="15" t="s">
        <v>247</v>
      </c>
      <c r="F10" s="15" t="s">
        <v>296</v>
      </c>
    </row>
    <row r="11" spans="1:6" ht="19.8" customHeight="1">
      <c r="A11" s="15" t="s">
        <v>261</v>
      </c>
      <c r="B11" s="15" t="s">
        <v>262</v>
      </c>
      <c r="C11" s="15" t="s">
        <v>263</v>
      </c>
      <c r="D11" s="15" t="s">
        <v>244</v>
      </c>
      <c r="E11" s="15" t="s">
        <v>249</v>
      </c>
      <c r="F11" s="15" t="s">
        <v>297</v>
      </c>
    </row>
    <row r="12" spans="1:6" ht="19.8" customHeight="1">
      <c r="A12" s="15" t="s">
        <v>264</v>
      </c>
      <c r="B12" s="15" t="s">
        <v>265</v>
      </c>
      <c r="C12" s="15" t="s">
        <v>266</v>
      </c>
      <c r="D12" s="15" t="s">
        <v>245</v>
      </c>
      <c r="E12" s="15" t="s">
        <v>247</v>
      </c>
      <c r="F12" s="15" t="s">
        <v>298</v>
      </c>
    </row>
    <row r="13" spans="1:6" ht="19.8" customHeight="1">
      <c r="A13" s="15" t="s">
        <v>267</v>
      </c>
      <c r="B13" s="15" t="s">
        <v>268</v>
      </c>
      <c r="C13" s="15" t="s">
        <v>269</v>
      </c>
      <c r="D13" s="15" t="s">
        <v>245</v>
      </c>
      <c r="E13" s="15" t="s">
        <v>248</v>
      </c>
      <c r="F13" s="15" t="s">
        <v>299</v>
      </c>
    </row>
    <row r="14" spans="1:6" ht="19.8" customHeight="1">
      <c r="A14" s="15" t="s">
        <v>270</v>
      </c>
      <c r="B14" s="15" t="s">
        <v>271</v>
      </c>
      <c r="C14" s="15" t="s">
        <v>272</v>
      </c>
      <c r="D14" s="15" t="s">
        <v>244</v>
      </c>
      <c r="E14" s="15" t="s">
        <v>247</v>
      </c>
      <c r="F14" s="15" t="s">
        <v>292</v>
      </c>
    </row>
    <row r="15" spans="1:6" ht="19.8" customHeight="1">
      <c r="A15" s="15" t="s">
        <v>273</v>
      </c>
      <c r="B15" s="15" t="s">
        <v>274</v>
      </c>
      <c r="C15" s="15" t="s">
        <v>275</v>
      </c>
      <c r="D15" s="15" t="s">
        <v>244</v>
      </c>
      <c r="E15" s="15" t="s">
        <v>249</v>
      </c>
      <c r="F15" s="15" t="s">
        <v>300</v>
      </c>
    </row>
    <row r="16" spans="1:6" ht="19.8" customHeight="1">
      <c r="A16" s="15" t="s">
        <v>276</v>
      </c>
      <c r="B16" s="15" t="s">
        <v>277</v>
      </c>
      <c r="C16" s="15" t="s">
        <v>278</v>
      </c>
      <c r="D16" s="15" t="s">
        <v>246</v>
      </c>
      <c r="E16" s="15" t="s">
        <v>248</v>
      </c>
      <c r="F16" s="15" t="s">
        <v>301</v>
      </c>
    </row>
    <row r="17" spans="1:6" ht="19.8" customHeight="1">
      <c r="A17" s="15" t="s">
        <v>279</v>
      </c>
      <c r="B17" s="15" t="s">
        <v>280</v>
      </c>
      <c r="C17" s="15" t="s">
        <v>281</v>
      </c>
      <c r="D17" s="15" t="s">
        <v>245</v>
      </c>
      <c r="E17" s="15" t="s">
        <v>247</v>
      </c>
      <c r="F17" s="15" t="s">
        <v>302</v>
      </c>
    </row>
    <row r="18" spans="1:6" ht="19.8" customHeight="1">
      <c r="A18" s="15" t="s">
        <v>282</v>
      </c>
      <c r="B18" s="15" t="s">
        <v>283</v>
      </c>
      <c r="C18" s="15" t="s">
        <v>284</v>
      </c>
      <c r="D18" s="15" t="s">
        <v>246</v>
      </c>
      <c r="E18" s="15" t="s">
        <v>249</v>
      </c>
      <c r="F18" s="15" t="s">
        <v>303</v>
      </c>
    </row>
    <row r="19" spans="1:6" ht="19.8" customHeight="1">
      <c r="A19" s="15" t="s">
        <v>285</v>
      </c>
      <c r="B19" s="15" t="s">
        <v>286</v>
      </c>
      <c r="C19" s="15" t="s">
        <v>287</v>
      </c>
      <c r="D19" s="15" t="s">
        <v>245</v>
      </c>
      <c r="E19" s="15" t="s">
        <v>247</v>
      </c>
      <c r="F19" s="15" t="s">
        <v>304</v>
      </c>
    </row>
    <row r="20" spans="1:6" ht="19.8" customHeight="1">
      <c r="A20" s="15" t="s">
        <v>288</v>
      </c>
      <c r="B20" s="15" t="s">
        <v>289</v>
      </c>
      <c r="C20" s="15" t="s">
        <v>290</v>
      </c>
      <c r="D20" s="15" t="s">
        <v>244</v>
      </c>
      <c r="E20" s="15" t="s">
        <v>248</v>
      </c>
      <c r="F20" s="15" t="s">
        <v>294</v>
      </c>
    </row>
  </sheetData>
  <mergeCells count="1">
    <mergeCell ref="B2:E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F807-D82B-4AB1-9CBA-1537EFDEC1DA}">
  <dimension ref="A1:E16"/>
  <sheetViews>
    <sheetView showGridLines="0" showRowColHeaders="0" workbookViewId="0">
      <selection activeCell="C24" sqref="C24"/>
    </sheetView>
  </sheetViews>
  <sheetFormatPr defaultRowHeight="14.4"/>
  <cols>
    <col min="1" max="1" width="20" customWidth="1"/>
    <col min="2" max="2" width="31.5546875" bestFit="1" customWidth="1"/>
    <col min="3" max="3" width="20" bestFit="1" customWidth="1"/>
    <col min="4" max="4" width="13.6640625" style="14" customWidth="1"/>
    <col min="5" max="5" width="14.77734375" customWidth="1"/>
  </cols>
  <sheetData>
    <row r="1" spans="1:5">
      <c r="A1" s="12" t="s">
        <v>306</v>
      </c>
      <c r="B1" s="12" t="s">
        <v>307</v>
      </c>
      <c r="C1" s="12" t="s">
        <v>291</v>
      </c>
      <c r="D1" s="13" t="s">
        <v>308</v>
      </c>
      <c r="E1" s="12" t="s">
        <v>239</v>
      </c>
    </row>
    <row r="2" spans="1:5">
      <c r="A2" s="15" t="s">
        <v>309</v>
      </c>
      <c r="B2" s="15" t="s">
        <v>310</v>
      </c>
      <c r="C2" s="15" t="s">
        <v>311</v>
      </c>
      <c r="D2" s="16">
        <v>46181</v>
      </c>
      <c r="E2" s="15" t="s">
        <v>248</v>
      </c>
    </row>
    <row r="3" spans="1:5">
      <c r="A3" s="15" t="s">
        <v>312</v>
      </c>
      <c r="B3" s="15" t="s">
        <v>313</v>
      </c>
      <c r="C3" s="15" t="s">
        <v>292</v>
      </c>
      <c r="D3" s="16">
        <v>46182</v>
      </c>
      <c r="E3" s="15" t="s">
        <v>314</v>
      </c>
    </row>
    <row r="4" spans="1:5">
      <c r="A4" s="15" t="s">
        <v>315</v>
      </c>
      <c r="B4" s="15" t="s">
        <v>316</v>
      </c>
      <c r="C4" s="15" t="s">
        <v>303</v>
      </c>
      <c r="D4" s="16">
        <v>46183</v>
      </c>
      <c r="E4" s="15" t="s">
        <v>248</v>
      </c>
    </row>
    <row r="5" spans="1:5">
      <c r="A5" s="15" t="s">
        <v>317</v>
      </c>
      <c r="B5" s="15" t="s">
        <v>318</v>
      </c>
      <c r="C5" s="15" t="s">
        <v>292</v>
      </c>
      <c r="D5" s="16">
        <v>46184</v>
      </c>
      <c r="E5" s="15" t="s">
        <v>314</v>
      </c>
    </row>
    <row r="6" spans="1:5">
      <c r="A6" s="15" t="s">
        <v>319</v>
      </c>
      <c r="B6" s="15" t="s">
        <v>320</v>
      </c>
      <c r="C6" s="15" t="s">
        <v>294</v>
      </c>
      <c r="D6" s="16">
        <v>46181</v>
      </c>
      <c r="E6" s="15" t="s">
        <v>321</v>
      </c>
    </row>
    <row r="7" spans="1:5">
      <c r="A7" s="15" t="s">
        <v>322</v>
      </c>
      <c r="B7" s="15" t="s">
        <v>323</v>
      </c>
      <c r="C7" s="15" t="s">
        <v>295</v>
      </c>
      <c r="D7" s="16">
        <v>46182</v>
      </c>
      <c r="E7" s="15" t="s">
        <v>248</v>
      </c>
    </row>
    <row r="8" spans="1:5">
      <c r="A8" s="15" t="s">
        <v>324</v>
      </c>
      <c r="B8" s="15" t="s">
        <v>325</v>
      </c>
      <c r="C8" s="15" t="s">
        <v>301</v>
      </c>
      <c r="D8" s="16">
        <v>46185</v>
      </c>
      <c r="E8" s="15" t="s">
        <v>326</v>
      </c>
    </row>
    <row r="9" spans="1:5">
      <c r="A9" s="15" t="s">
        <v>327</v>
      </c>
      <c r="B9" s="15" t="s">
        <v>328</v>
      </c>
      <c r="C9" s="15" t="s">
        <v>302</v>
      </c>
      <c r="D9" s="16">
        <v>46186</v>
      </c>
      <c r="E9" s="15" t="s">
        <v>314</v>
      </c>
    </row>
    <row r="10" spans="1:5">
      <c r="A10" s="15" t="s">
        <v>329</v>
      </c>
      <c r="B10" s="15" t="s">
        <v>330</v>
      </c>
      <c r="C10" s="15" t="s">
        <v>300</v>
      </c>
      <c r="D10" s="16">
        <v>46187</v>
      </c>
      <c r="E10" s="15" t="s">
        <v>248</v>
      </c>
    </row>
    <row r="11" spans="1:5">
      <c r="A11" s="15" t="s">
        <v>331</v>
      </c>
      <c r="B11" s="15" t="s">
        <v>332</v>
      </c>
      <c r="C11" s="15" t="s">
        <v>296</v>
      </c>
      <c r="D11" s="16">
        <v>46188</v>
      </c>
      <c r="E11" s="15" t="s">
        <v>314</v>
      </c>
    </row>
    <row r="12" spans="1:5">
      <c r="A12" s="15" t="s">
        <v>333</v>
      </c>
      <c r="B12" s="15" t="s">
        <v>334</v>
      </c>
      <c r="C12" s="15" t="s">
        <v>297</v>
      </c>
      <c r="D12" s="16">
        <v>46183</v>
      </c>
      <c r="E12" s="15" t="s">
        <v>321</v>
      </c>
    </row>
    <row r="13" spans="1:5">
      <c r="A13" s="15" t="s">
        <v>335</v>
      </c>
      <c r="B13" s="15" t="s">
        <v>336</v>
      </c>
      <c r="C13" s="15" t="s">
        <v>294</v>
      </c>
      <c r="D13" s="16">
        <v>46184</v>
      </c>
      <c r="E13" s="15" t="s">
        <v>248</v>
      </c>
    </row>
    <row r="14" spans="1:5">
      <c r="A14" s="15" t="s">
        <v>337</v>
      </c>
      <c r="B14" s="15" t="s">
        <v>338</v>
      </c>
      <c r="C14" s="15" t="s">
        <v>298</v>
      </c>
      <c r="D14" s="16">
        <v>46185</v>
      </c>
      <c r="E14" s="15" t="s">
        <v>321</v>
      </c>
    </row>
    <row r="15" spans="1:5">
      <c r="A15" s="15" t="s">
        <v>339</v>
      </c>
      <c r="B15" s="15" t="s">
        <v>340</v>
      </c>
      <c r="C15" s="15" t="s">
        <v>304</v>
      </c>
      <c r="D15" s="16">
        <v>46189</v>
      </c>
      <c r="E15" s="15" t="s">
        <v>314</v>
      </c>
    </row>
    <row r="16" spans="1:5">
      <c r="A16" s="15" t="s">
        <v>341</v>
      </c>
      <c r="B16" s="15" t="s">
        <v>342</v>
      </c>
      <c r="C16" s="15" t="s">
        <v>302</v>
      </c>
      <c r="D16" s="16">
        <v>46190</v>
      </c>
      <c r="E16" s="15" t="s">
        <v>326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1D92-6CA5-4F5A-A230-45270AA03DAD}">
  <dimension ref="A1:C5"/>
  <sheetViews>
    <sheetView showGridLines="0" showRowColHeaders="0" workbookViewId="0">
      <selection activeCell="I10" sqref="I10"/>
    </sheetView>
  </sheetViews>
  <sheetFormatPr defaultRowHeight="14.4"/>
  <cols>
    <col min="1" max="1" width="24.33203125" customWidth="1"/>
    <col min="2" max="2" width="26.44140625" customWidth="1"/>
    <col min="3" max="3" width="23.109375" bestFit="1" customWidth="1"/>
  </cols>
  <sheetData>
    <row r="1" spans="1:3">
      <c r="A1" s="12" t="s">
        <v>343</v>
      </c>
      <c r="B1" s="12" t="s">
        <v>344</v>
      </c>
      <c r="C1" s="12" t="s">
        <v>345</v>
      </c>
    </row>
    <row r="2" spans="1:3">
      <c r="A2" s="15" t="s">
        <v>346</v>
      </c>
      <c r="B2" s="15" t="s">
        <v>347</v>
      </c>
      <c r="C2" s="15" t="s">
        <v>348</v>
      </c>
    </row>
    <row r="3" spans="1:3">
      <c r="A3" s="15" t="s">
        <v>349</v>
      </c>
      <c r="B3" s="15" t="s">
        <v>350</v>
      </c>
      <c r="C3" s="15" t="s">
        <v>348</v>
      </c>
    </row>
    <row r="4" spans="1:3">
      <c r="A4" s="15" t="s">
        <v>351</v>
      </c>
      <c r="B4" s="15" t="s">
        <v>352</v>
      </c>
      <c r="C4" s="15" t="s">
        <v>353</v>
      </c>
    </row>
    <row r="5" spans="1:3">
      <c r="A5" s="15" t="s">
        <v>354</v>
      </c>
      <c r="B5" s="15" t="s">
        <v>355</v>
      </c>
      <c r="C5" s="15" t="s">
        <v>353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D4F6-A896-44D2-973F-ADB03966CD94}">
  <dimension ref="A1:C7"/>
  <sheetViews>
    <sheetView showGridLines="0" showRowColHeaders="0" workbookViewId="0">
      <selection activeCell="F15" sqref="F15"/>
    </sheetView>
  </sheetViews>
  <sheetFormatPr defaultRowHeight="14.4"/>
  <cols>
    <col min="1" max="3" width="29.88671875" customWidth="1"/>
  </cols>
  <sheetData>
    <row r="1" spans="1:3">
      <c r="A1" s="12" t="s">
        <v>356</v>
      </c>
      <c r="B1" s="12" t="s">
        <v>357</v>
      </c>
      <c r="C1" s="12" t="s">
        <v>358</v>
      </c>
    </row>
    <row r="2" spans="1:3">
      <c r="A2" s="15" t="s">
        <v>3</v>
      </c>
      <c r="B2" s="15" t="s">
        <v>359</v>
      </c>
      <c r="C2" s="15" t="s">
        <v>360</v>
      </c>
    </row>
    <row r="3" spans="1:3">
      <c r="A3" s="15" t="s">
        <v>361</v>
      </c>
      <c r="B3" s="15" t="s">
        <v>362</v>
      </c>
      <c r="C3" s="15" t="s">
        <v>363</v>
      </c>
    </row>
    <row r="4" spans="1:3">
      <c r="A4" s="15" t="s">
        <v>364</v>
      </c>
      <c r="B4" s="15" t="s">
        <v>365</v>
      </c>
      <c r="C4" s="15" t="s">
        <v>366</v>
      </c>
    </row>
    <row r="5" spans="1:3">
      <c r="A5" s="15" t="s">
        <v>367</v>
      </c>
      <c r="B5" s="15" t="s">
        <v>368</v>
      </c>
      <c r="C5" s="15" t="s">
        <v>369</v>
      </c>
    </row>
    <row r="6" spans="1:3">
      <c r="A6" s="15" t="s">
        <v>370</v>
      </c>
      <c r="B6" s="15" t="s">
        <v>371</v>
      </c>
      <c r="C6" s="15" t="s">
        <v>372</v>
      </c>
    </row>
    <row r="7" spans="1:3">
      <c r="A7" s="15" t="s">
        <v>373</v>
      </c>
      <c r="B7" s="15" t="s">
        <v>374</v>
      </c>
      <c r="C7" s="15" t="s">
        <v>375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B1C1-9AAD-4FC0-8253-101727911ADF}">
  <dimension ref="A1:L15"/>
  <sheetViews>
    <sheetView showGridLines="0" showRowColHeaders="0" workbookViewId="0">
      <selection activeCell="E19" sqref="E19"/>
    </sheetView>
  </sheetViews>
  <sheetFormatPr defaultRowHeight="14.4"/>
  <cols>
    <col min="1" max="1" width="19.44140625" style="2" bestFit="1" customWidth="1"/>
    <col min="2" max="2" width="42.109375" style="2" bestFit="1" customWidth="1"/>
    <col min="3" max="3" width="14.88671875" style="2" customWidth="1"/>
    <col min="4" max="4" width="15.109375" style="2" customWidth="1"/>
  </cols>
  <sheetData>
    <row r="1" spans="1:12">
      <c r="A1" s="12" t="s">
        <v>343</v>
      </c>
      <c r="B1" s="12" t="s">
        <v>376</v>
      </c>
      <c r="C1" s="12" t="s">
        <v>377</v>
      </c>
      <c r="D1" s="12" t="s">
        <v>378</v>
      </c>
    </row>
    <row r="2" spans="1:12">
      <c r="A2" s="15" t="s">
        <v>346</v>
      </c>
      <c r="B2" s="15" t="s">
        <v>379</v>
      </c>
      <c r="C2" s="15" t="s">
        <v>244</v>
      </c>
      <c r="D2" s="15" t="s">
        <v>244</v>
      </c>
    </row>
    <row r="3" spans="1:12">
      <c r="A3" s="15" t="s">
        <v>292</v>
      </c>
      <c r="B3" s="15" t="s">
        <v>380</v>
      </c>
      <c r="C3" s="15" t="s">
        <v>245</v>
      </c>
      <c r="D3" s="15" t="s">
        <v>244</v>
      </c>
    </row>
    <row r="4" spans="1:12">
      <c r="A4" s="15" t="s">
        <v>296</v>
      </c>
      <c r="B4" s="15" t="s">
        <v>381</v>
      </c>
      <c r="C4" s="15" t="s">
        <v>244</v>
      </c>
      <c r="D4" s="15" t="s">
        <v>246</v>
      </c>
    </row>
    <row r="5" spans="1:12">
      <c r="A5" s="15" t="s">
        <v>382</v>
      </c>
      <c r="B5" s="15" t="s">
        <v>383</v>
      </c>
      <c r="C5" s="15" t="s">
        <v>246</v>
      </c>
      <c r="D5" s="15" t="s">
        <v>244</v>
      </c>
    </row>
    <row r="6" spans="1:12">
      <c r="A6" s="15" t="s">
        <v>294</v>
      </c>
      <c r="B6" s="15" t="s">
        <v>384</v>
      </c>
      <c r="C6" s="15" t="s">
        <v>244</v>
      </c>
      <c r="D6" s="15" t="s">
        <v>245</v>
      </c>
    </row>
    <row r="15" spans="1:12">
      <c r="L15" t="s">
        <v>385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0202-6FCF-4BD4-933B-E5FB66F0C5A1}">
  <dimension ref="A1:F19"/>
  <sheetViews>
    <sheetView showGridLines="0" showRowColHeaders="0" workbookViewId="0">
      <selection sqref="A1:G21"/>
    </sheetView>
  </sheetViews>
  <sheetFormatPr defaultRowHeight="14.4"/>
  <cols>
    <col min="2" max="2" width="30.77734375" bestFit="1" customWidth="1"/>
    <col min="3" max="3" width="15.33203125" customWidth="1"/>
    <col min="4" max="4" width="16" customWidth="1"/>
    <col min="5" max="5" width="35.109375" bestFit="1" customWidth="1"/>
    <col min="6" max="6" width="20" bestFit="1" customWidth="1"/>
  </cols>
  <sheetData>
    <row r="1" spans="1:6">
      <c r="B1" s="32" t="s">
        <v>494</v>
      </c>
      <c r="C1" s="33"/>
      <c r="D1" s="33"/>
      <c r="E1" s="33"/>
    </row>
    <row r="2" spans="1:6">
      <c r="B2" s="33"/>
      <c r="C2" s="33"/>
      <c r="D2" s="33"/>
      <c r="E2" s="33"/>
    </row>
    <row r="4" spans="1:6">
      <c r="A4" s="12" t="s">
        <v>386</v>
      </c>
      <c r="B4" s="12" t="s">
        <v>387</v>
      </c>
      <c r="C4" s="12" t="s">
        <v>388</v>
      </c>
      <c r="D4" s="12" t="s">
        <v>237</v>
      </c>
      <c r="E4" s="12" t="s">
        <v>389</v>
      </c>
      <c r="F4" s="12" t="s">
        <v>291</v>
      </c>
    </row>
    <row r="5" spans="1:6">
      <c r="A5" s="15" t="s">
        <v>390</v>
      </c>
      <c r="B5" s="15" t="s">
        <v>391</v>
      </c>
      <c r="C5" s="15" t="s">
        <v>244</v>
      </c>
      <c r="D5" s="15" t="s">
        <v>244</v>
      </c>
      <c r="E5" s="15" t="s">
        <v>392</v>
      </c>
      <c r="F5" s="15" t="s">
        <v>292</v>
      </c>
    </row>
    <row r="6" spans="1:6">
      <c r="A6" s="15" t="s">
        <v>393</v>
      </c>
      <c r="B6" s="15" t="s">
        <v>259</v>
      </c>
      <c r="C6" s="15" t="s">
        <v>244</v>
      </c>
      <c r="D6" s="15" t="s">
        <v>244</v>
      </c>
      <c r="E6" s="15" t="s">
        <v>394</v>
      </c>
      <c r="F6" s="15" t="s">
        <v>296</v>
      </c>
    </row>
    <row r="7" spans="1:6">
      <c r="A7" s="15" t="s">
        <v>395</v>
      </c>
      <c r="B7" s="15" t="s">
        <v>396</v>
      </c>
      <c r="C7" s="15" t="s">
        <v>245</v>
      </c>
      <c r="D7" s="15" t="s">
        <v>245</v>
      </c>
      <c r="E7" s="15" t="s">
        <v>397</v>
      </c>
      <c r="F7" s="15" t="s">
        <v>294</v>
      </c>
    </row>
    <row r="8" spans="1:6">
      <c r="A8" s="15" t="s">
        <v>398</v>
      </c>
      <c r="B8" s="15" t="s">
        <v>399</v>
      </c>
      <c r="C8" s="15" t="s">
        <v>245</v>
      </c>
      <c r="D8" s="15" t="s">
        <v>244</v>
      </c>
      <c r="E8" s="15" t="s">
        <v>400</v>
      </c>
      <c r="F8" s="15" t="s">
        <v>297</v>
      </c>
    </row>
    <row r="9" spans="1:6">
      <c r="A9" s="15" t="s">
        <v>401</v>
      </c>
      <c r="B9" s="15" t="s">
        <v>402</v>
      </c>
      <c r="C9" s="15" t="s">
        <v>245</v>
      </c>
      <c r="D9" s="15" t="s">
        <v>245</v>
      </c>
      <c r="E9" s="15" t="s">
        <v>403</v>
      </c>
      <c r="F9" s="15" t="s">
        <v>302</v>
      </c>
    </row>
    <row r="10" spans="1:6">
      <c r="A10" s="15" t="s">
        <v>404</v>
      </c>
      <c r="B10" s="15" t="s">
        <v>405</v>
      </c>
      <c r="C10" s="15" t="s">
        <v>245</v>
      </c>
      <c r="D10" s="15" t="s">
        <v>244</v>
      </c>
      <c r="E10" s="15" t="s">
        <v>406</v>
      </c>
      <c r="F10" s="15" t="s">
        <v>298</v>
      </c>
    </row>
    <row r="11" spans="1:6">
      <c r="A11" s="15" t="s">
        <v>407</v>
      </c>
      <c r="B11" s="15" t="s">
        <v>408</v>
      </c>
      <c r="C11" s="15" t="s">
        <v>246</v>
      </c>
      <c r="D11" s="15" t="s">
        <v>245</v>
      </c>
      <c r="E11" s="15" t="s">
        <v>409</v>
      </c>
      <c r="F11" s="15" t="s">
        <v>301</v>
      </c>
    </row>
    <row r="12" spans="1:6">
      <c r="A12" s="15" t="s">
        <v>410</v>
      </c>
      <c r="B12" s="15" t="s">
        <v>411</v>
      </c>
      <c r="C12" s="15" t="s">
        <v>245</v>
      </c>
      <c r="D12" s="15" t="s">
        <v>244</v>
      </c>
      <c r="E12" s="15" t="s">
        <v>412</v>
      </c>
      <c r="F12" s="15" t="s">
        <v>292</v>
      </c>
    </row>
    <row r="13" spans="1:6">
      <c r="A13" s="15" t="s">
        <v>413</v>
      </c>
      <c r="B13" s="15" t="s">
        <v>414</v>
      </c>
      <c r="C13" s="15" t="s">
        <v>246</v>
      </c>
      <c r="D13" s="15" t="s">
        <v>244</v>
      </c>
      <c r="E13" s="15" t="s">
        <v>415</v>
      </c>
      <c r="F13" s="15" t="s">
        <v>346</v>
      </c>
    </row>
    <row r="14" spans="1:6">
      <c r="A14" s="15" t="s">
        <v>416</v>
      </c>
      <c r="B14" s="15" t="s">
        <v>417</v>
      </c>
      <c r="C14" s="15" t="s">
        <v>245</v>
      </c>
      <c r="D14" s="15" t="s">
        <v>245</v>
      </c>
      <c r="E14" s="15" t="s">
        <v>418</v>
      </c>
      <c r="F14" s="15" t="s">
        <v>303</v>
      </c>
    </row>
    <row r="15" spans="1:6">
      <c r="A15" s="15" t="s">
        <v>419</v>
      </c>
      <c r="B15" s="15" t="s">
        <v>420</v>
      </c>
      <c r="C15" s="15" t="s">
        <v>246</v>
      </c>
      <c r="D15" s="15" t="s">
        <v>244</v>
      </c>
      <c r="E15" s="15" t="s">
        <v>421</v>
      </c>
      <c r="F15" s="15" t="s">
        <v>301</v>
      </c>
    </row>
    <row r="16" spans="1:6">
      <c r="A16" s="15" t="s">
        <v>422</v>
      </c>
      <c r="B16" s="15" t="s">
        <v>423</v>
      </c>
      <c r="C16" s="15" t="s">
        <v>244</v>
      </c>
      <c r="D16" s="15" t="s">
        <v>244</v>
      </c>
      <c r="E16" s="15" t="s">
        <v>424</v>
      </c>
      <c r="F16" s="15" t="s">
        <v>292</v>
      </c>
    </row>
    <row r="17" spans="1:6">
      <c r="A17" s="15" t="s">
        <v>425</v>
      </c>
      <c r="B17" s="15" t="s">
        <v>426</v>
      </c>
      <c r="C17" s="15" t="s">
        <v>246</v>
      </c>
      <c r="D17" s="15" t="s">
        <v>245</v>
      </c>
      <c r="E17" s="15" t="s">
        <v>427</v>
      </c>
      <c r="F17" s="15" t="s">
        <v>303</v>
      </c>
    </row>
    <row r="18" spans="1:6">
      <c r="A18" s="15" t="s">
        <v>428</v>
      </c>
      <c r="B18" s="15" t="s">
        <v>429</v>
      </c>
      <c r="C18" s="15" t="s">
        <v>245</v>
      </c>
      <c r="D18" s="15" t="s">
        <v>245</v>
      </c>
      <c r="E18" s="15" t="s">
        <v>430</v>
      </c>
      <c r="F18" s="15" t="s">
        <v>346</v>
      </c>
    </row>
    <row r="19" spans="1:6">
      <c r="A19" s="15" t="s">
        <v>431</v>
      </c>
      <c r="B19" s="15" t="s">
        <v>432</v>
      </c>
      <c r="C19" s="15" t="s">
        <v>245</v>
      </c>
      <c r="D19" s="15" t="s">
        <v>244</v>
      </c>
      <c r="E19" s="15" t="s">
        <v>433</v>
      </c>
      <c r="F19" s="15" t="s">
        <v>294</v>
      </c>
    </row>
  </sheetData>
  <mergeCells count="1">
    <mergeCell ref="B1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06EE-C346-42E3-AC71-B173C9023ACF}">
  <dimension ref="A1:C31"/>
  <sheetViews>
    <sheetView showGridLines="0" showRowColHeaders="0" topLeftCell="A9" workbookViewId="0">
      <selection activeCell="F38" sqref="F38"/>
    </sheetView>
  </sheetViews>
  <sheetFormatPr defaultRowHeight="14.4"/>
  <cols>
    <col min="1" max="1" width="27.88671875" customWidth="1"/>
    <col min="2" max="2" width="47.109375" customWidth="1"/>
    <col min="3" max="3" width="27.109375" customWidth="1"/>
  </cols>
  <sheetData>
    <row r="1" spans="1:3">
      <c r="A1" s="12" t="s">
        <v>356</v>
      </c>
      <c r="B1" s="12" t="s">
        <v>434</v>
      </c>
      <c r="C1" s="12" t="s">
        <v>435</v>
      </c>
    </row>
    <row r="2" spans="1:3">
      <c r="A2" s="15" t="s">
        <v>436</v>
      </c>
      <c r="B2" s="15" t="s">
        <v>437</v>
      </c>
      <c r="C2" s="15" t="s">
        <v>438</v>
      </c>
    </row>
    <row r="3" spans="1:3">
      <c r="A3" s="15" t="s">
        <v>439</v>
      </c>
      <c r="B3" s="15" t="s">
        <v>440</v>
      </c>
      <c r="C3" s="15" t="s">
        <v>438</v>
      </c>
    </row>
    <row r="4" spans="1:3">
      <c r="A4" s="15" t="s">
        <v>441</v>
      </c>
      <c r="B4" s="15" t="s">
        <v>442</v>
      </c>
      <c r="C4" s="15" t="s">
        <v>438</v>
      </c>
    </row>
    <row r="5" spans="1:3">
      <c r="A5" s="15" t="s">
        <v>443</v>
      </c>
      <c r="B5" s="15" t="s">
        <v>444</v>
      </c>
      <c r="C5" s="15" t="s">
        <v>438</v>
      </c>
    </row>
    <row r="6" spans="1:3">
      <c r="A6" s="15" t="s">
        <v>445</v>
      </c>
      <c r="B6" s="15" t="s">
        <v>446</v>
      </c>
      <c r="C6" s="15" t="s">
        <v>438</v>
      </c>
    </row>
    <row r="7" spans="1:3">
      <c r="A7" s="15" t="s">
        <v>447</v>
      </c>
      <c r="B7" s="15" t="s">
        <v>448</v>
      </c>
      <c r="C7" s="15" t="s">
        <v>438</v>
      </c>
    </row>
    <row r="8" spans="1:3">
      <c r="A8" s="15" t="s">
        <v>449</v>
      </c>
      <c r="B8" s="15" t="s">
        <v>450</v>
      </c>
      <c r="C8" s="15" t="s">
        <v>438</v>
      </c>
    </row>
    <row r="9" spans="1:3">
      <c r="A9" s="15" t="s">
        <v>451</v>
      </c>
      <c r="B9" s="15" t="s">
        <v>452</v>
      </c>
      <c r="C9" s="15" t="s">
        <v>453</v>
      </c>
    </row>
    <row r="10" spans="1:3">
      <c r="A10" s="15" t="s">
        <v>454</v>
      </c>
      <c r="B10" s="15" t="s">
        <v>455</v>
      </c>
      <c r="C10" s="15" t="s">
        <v>453</v>
      </c>
    </row>
    <row r="11" spans="1:3">
      <c r="A11" s="15" t="s">
        <v>456</v>
      </c>
      <c r="B11" s="15" t="s">
        <v>457</v>
      </c>
      <c r="C11" s="15" t="s">
        <v>458</v>
      </c>
    </row>
    <row r="12" spans="1:3">
      <c r="A12" s="15" t="s">
        <v>459</v>
      </c>
      <c r="B12" s="15" t="s">
        <v>460</v>
      </c>
      <c r="C12" s="15" t="s">
        <v>458</v>
      </c>
    </row>
    <row r="13" spans="1:3">
      <c r="A13" s="15" t="s">
        <v>461</v>
      </c>
      <c r="B13" s="15" t="s">
        <v>462</v>
      </c>
      <c r="C13" s="15" t="s">
        <v>463</v>
      </c>
    </row>
    <row r="14" spans="1:3">
      <c r="A14" s="15" t="s">
        <v>464</v>
      </c>
      <c r="B14" s="15" t="s">
        <v>465</v>
      </c>
      <c r="C14" s="15" t="s">
        <v>463</v>
      </c>
    </row>
    <row r="15" spans="1:3">
      <c r="A15" s="15" t="s">
        <v>466</v>
      </c>
      <c r="B15" s="15" t="s">
        <v>467</v>
      </c>
      <c r="C15" s="15" t="s">
        <v>468</v>
      </c>
    </row>
    <row r="16" spans="1:3">
      <c r="A16" s="15" t="s">
        <v>469</v>
      </c>
      <c r="B16" s="15" t="s">
        <v>470</v>
      </c>
      <c r="C16" s="15" t="s">
        <v>438</v>
      </c>
    </row>
    <row r="19" spans="1:2" ht="18">
      <c r="A19" s="18" t="s">
        <v>471</v>
      </c>
    </row>
    <row r="21" spans="1:2">
      <c r="A21" s="17" t="s">
        <v>472</v>
      </c>
      <c r="B21" s="17" t="s">
        <v>434</v>
      </c>
    </row>
    <row r="22" spans="1:2">
      <c r="A22" s="26" t="s">
        <v>473</v>
      </c>
      <c r="B22" s="26" t="s">
        <v>474</v>
      </c>
    </row>
    <row r="23" spans="1:2">
      <c r="A23" s="26" t="s">
        <v>475</v>
      </c>
      <c r="B23" s="26" t="s">
        <v>476</v>
      </c>
    </row>
    <row r="24" spans="1:2">
      <c r="A24" s="26" t="s">
        <v>477</v>
      </c>
      <c r="B24" s="26" t="s">
        <v>478</v>
      </c>
    </row>
    <row r="25" spans="1:2">
      <c r="A25" s="26" t="s">
        <v>479</v>
      </c>
      <c r="B25" s="26" t="s">
        <v>480</v>
      </c>
    </row>
    <row r="26" spans="1:2">
      <c r="A26" s="26" t="s">
        <v>481</v>
      </c>
      <c r="B26" s="26" t="s">
        <v>482</v>
      </c>
    </row>
    <row r="27" spans="1:2">
      <c r="A27" s="26" t="s">
        <v>483</v>
      </c>
      <c r="B27" s="26" t="s">
        <v>484</v>
      </c>
    </row>
    <row r="28" spans="1:2">
      <c r="A28" s="26" t="s">
        <v>485</v>
      </c>
      <c r="B28" s="26" t="s">
        <v>486</v>
      </c>
    </row>
    <row r="29" spans="1:2">
      <c r="A29" s="26" t="s">
        <v>487</v>
      </c>
      <c r="B29" s="26" t="s">
        <v>488</v>
      </c>
    </row>
    <row r="30" spans="1:2">
      <c r="A30" s="26" t="s">
        <v>489</v>
      </c>
      <c r="B30" s="26" t="s">
        <v>490</v>
      </c>
    </row>
    <row r="31" spans="1:2">
      <c r="A31" s="26" t="s">
        <v>491</v>
      </c>
      <c r="B31" s="26" t="s">
        <v>492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C132-05AE-469B-9B5B-8616E7F4371A}">
  <dimension ref="A1:P9"/>
  <sheetViews>
    <sheetView showGridLines="0" showRowColHeaders="0" tabSelected="1" workbookViewId="0">
      <selection activeCell="S21" sqref="S21"/>
    </sheetView>
  </sheetViews>
  <sheetFormatPr defaultRowHeight="14.4"/>
  <cols>
    <col min="2" max="2" width="20.21875" customWidth="1"/>
    <col min="3" max="3" width="14.21875" customWidth="1"/>
  </cols>
  <sheetData>
    <row r="1" spans="1:16" ht="14.4" customHeight="1">
      <c r="A1" s="34" t="s">
        <v>493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4.4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ht="31.2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1:16" ht="14.4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9" spans="1:16">
      <c r="B9" s="20">
        <f>SUM(Table1[[#All],[Revenue]])</f>
        <v>28516564.179999989</v>
      </c>
      <c r="E9">
        <f>SUM(Table1[Quantity Sold])</f>
        <v>1118</v>
      </c>
      <c r="H9">
        <f>COUNTIF(Table3[Status],Issue_Tracker!E6)</f>
        <v>7</v>
      </c>
      <c r="K9">
        <f>COUNTIF(Inventory_Data!F2:F201,Inventory_Data!F2)</f>
        <v>97</v>
      </c>
    </row>
  </sheetData>
  <mergeCells count="1">
    <mergeCell ref="A1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Sales_Data</vt:lpstr>
      <vt:lpstr>Inventory_Data</vt:lpstr>
      <vt:lpstr>Issue_Tracker</vt:lpstr>
      <vt:lpstr>Action_Tracker</vt:lpstr>
      <vt:lpstr>Stakeholder_Report</vt:lpstr>
      <vt:lpstr>KPI_Tracking</vt:lpstr>
      <vt:lpstr>Stakeholder_Register_Sheet</vt:lpstr>
      <vt:lpstr>Risk_Register</vt:lpstr>
      <vt:lpstr>Dashboard_Planning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 paul</dc:creator>
  <cp:lastModifiedBy>charu paul</cp:lastModifiedBy>
  <dcterms:created xsi:type="dcterms:W3CDTF">2026-06-03T05:52:56Z</dcterms:created>
  <dcterms:modified xsi:type="dcterms:W3CDTF">2026-06-10T11:26:43Z</dcterms:modified>
</cp:coreProperties>
</file>